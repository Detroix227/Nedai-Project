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ROJECT WORK\"/>
    </mc:Choice>
  </mc:AlternateContent>
  <xr:revisionPtr revIDLastSave="0" documentId="13_ncr:1_{B45C749C-3A6F-41E3-977A-5840C6CA6E4C}" xr6:coauthVersionLast="47" xr6:coauthVersionMax="47" xr10:uidLastSave="{00000000-0000-0000-0000-000000000000}"/>
  <bookViews>
    <workbookView xWindow="-110" yWindow="-110" windowWidth="19420" windowHeight="10420" xr2:uid="{D1CB24FB-F338-4A50-8BA8-9C3E8FB7C2A4}"/>
  </bookViews>
  <sheets>
    <sheet name="ADF" sheetId="2" r:id="rId1"/>
    <sheet name="PP" sheetId="5" r:id="rId2"/>
    <sheet name="lag" sheetId="9" r:id="rId3"/>
    <sheet name="Real data" sheetId="1" r:id="rId4"/>
    <sheet name="bound" sheetId="10" r:id="rId5"/>
    <sheet name="Sheet2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</calcChain>
</file>

<file path=xl/sharedStrings.xml><?xml version="1.0" encoding="utf-8"?>
<sst xmlns="http://schemas.openxmlformats.org/spreadsheetml/2006/main" count="327" uniqueCount="96">
  <si>
    <t>GDP</t>
  </si>
  <si>
    <t>YEAR</t>
  </si>
  <si>
    <t>EXD</t>
  </si>
  <si>
    <t>INF</t>
  </si>
  <si>
    <t>FDI</t>
  </si>
  <si>
    <t>COC</t>
  </si>
  <si>
    <r>
      <t xml:space="preserve">Table 3. </t>
    </r>
    <r>
      <rPr>
        <sz val="8"/>
        <rFont val="Times New Roman"/>
        <family val="1"/>
      </rPr>
      <t>Stationarity Tests of Variables: ADF Unit Root Test Results</t>
    </r>
  </si>
  <si>
    <t>ADF (With Intercept Only)</t>
  </si>
  <si>
    <t>Variables</t>
  </si>
  <si>
    <t>Level</t>
  </si>
  <si>
    <t>1st Difference</t>
  </si>
  <si>
    <t>Test Statistics</t>
  </si>
  <si>
    <t>Critical                                                 Values</t>
  </si>
  <si>
    <t>Prob. Values</t>
  </si>
  <si>
    <t xml:space="preserve">Remarks </t>
  </si>
  <si>
    <t>NS</t>
  </si>
  <si>
    <t>I(1)</t>
  </si>
  <si>
    <t> 0.0000</t>
  </si>
  <si>
    <t>I(0)</t>
  </si>
  <si>
    <t>***</t>
  </si>
  <si>
    <t xml:space="preserve">                                           ADF (With Intercept &amp; Trend)</t>
  </si>
  <si>
    <t>NS and  *** denote, respectively, non-stationary and not applicable</t>
  </si>
  <si>
    <r>
      <rPr>
        <b/>
        <sz val="8"/>
        <rFont val="Times New Roman"/>
        <family val="1"/>
      </rPr>
      <t>Soure:</t>
    </r>
    <r>
      <rPr>
        <sz val="8"/>
        <rFont val="Times New Roman"/>
        <family val="1"/>
      </rPr>
      <t xml:space="preserve"> Prepared by the Author</t>
    </r>
  </si>
  <si>
    <t>Table 4. Stationarity Tests of Variables: PP Unit Root Test Results</t>
  </si>
  <si>
    <t>PP (With Intercept Only)</t>
  </si>
  <si>
    <t xml:space="preserve">                                       PP (With Intercept &amp; Trend)</t>
  </si>
  <si>
    <r>
      <rPr>
        <b/>
        <sz val="8"/>
        <rFont val="Times New Roman"/>
        <family val="1"/>
      </rPr>
      <t>Source:</t>
    </r>
    <r>
      <rPr>
        <sz val="8"/>
        <rFont val="Times New Roman"/>
        <family val="1"/>
      </rPr>
      <t xml:space="preserve"> Prepared by the Author</t>
    </r>
  </si>
  <si>
    <t>EXD*COC</t>
  </si>
  <si>
    <r>
      <t xml:space="preserve">Table 5. </t>
    </r>
    <r>
      <rPr>
        <sz val="9"/>
        <rFont val="Times New Roman"/>
        <family val="1"/>
      </rPr>
      <t xml:space="preserve"> Results of Lag Order Selection Criteria</t>
    </r>
  </si>
  <si>
    <t xml:space="preserve"> Lag</t>
  </si>
  <si>
    <t>LogL</t>
  </si>
  <si>
    <t>LR</t>
  </si>
  <si>
    <t>FPE</t>
  </si>
  <si>
    <t>AIC</t>
  </si>
  <si>
    <t>SIC</t>
  </si>
  <si>
    <t>HQ</t>
  </si>
  <si>
    <t xml:space="preserve">NA </t>
  </si>
  <si>
    <r>
      <rPr>
        <b/>
        <sz val="9"/>
        <color theme="1"/>
        <rFont val="Times New Roman"/>
        <family val="1"/>
      </rPr>
      <t>Source:</t>
    </r>
    <r>
      <rPr>
        <sz val="9"/>
        <color theme="1"/>
        <rFont val="Times New Roman"/>
        <family val="1"/>
      </rPr>
      <t xml:space="preserve"> Prepared by the Author</t>
    </r>
  </si>
  <si>
    <t xml:space="preserve"> * indicates lag order selected by the criterion</t>
  </si>
  <si>
    <t xml:space="preserve"> LR: sequential modified LR test statistic (each test at 5% level)</t>
  </si>
  <si>
    <t xml:space="preserve"> FPE: Final prediction error</t>
  </si>
  <si>
    <t xml:space="preserve"> AIC: Akaike information criterion</t>
  </si>
  <si>
    <t xml:space="preserve"> SIC: Schwarz information criterion</t>
  </si>
  <si>
    <t xml:space="preserve"> HQ: Hannan-Quinn information criterion</t>
  </si>
  <si>
    <t xml:space="preserve">  73.54686*</t>
  </si>
  <si>
    <t xml:space="preserve">  2.28e+22*</t>
  </si>
  <si>
    <t xml:space="preserve">  62.80603*</t>
  </si>
  <si>
    <t xml:space="preserve">  63.78774*</t>
  </si>
  <si>
    <t xml:space="preserve">  63.06647*</t>
  </si>
  <si>
    <t xml:space="preserve">  53.95188*</t>
  </si>
  <si>
    <t xml:space="preserve">  3.482887*</t>
  </si>
  <si>
    <t xml:space="preserve">  12.57461*</t>
  </si>
  <si>
    <t xml:space="preserve">  13.55632*</t>
  </si>
  <si>
    <t xml:space="preserve">  12.83506*</t>
  </si>
  <si>
    <t xml:space="preserve">  106.9238*</t>
  </si>
  <si>
    <t xml:space="preserve">  4.09e+38*</t>
  </si>
  <si>
    <t xml:space="preserve">  105.8295*</t>
  </si>
  <si>
    <t xml:space="preserve">  107.8911*</t>
  </si>
  <si>
    <t xml:space="preserve">  106.3765*</t>
  </si>
  <si>
    <r>
      <rPr>
        <b/>
        <sz val="9"/>
        <rFont val="Times New Roman"/>
        <family val="1"/>
      </rPr>
      <t>Table 6</t>
    </r>
    <r>
      <rPr>
        <sz val="9"/>
        <rFont val="Times New Roman"/>
        <family val="1"/>
      </rPr>
      <t>. Cointegration Results</t>
    </r>
  </si>
  <si>
    <t>Level of Significance (% ) </t>
  </si>
  <si>
    <t>Bounds Values</t>
  </si>
  <si>
    <t>F Statistic</t>
  </si>
  <si>
    <t>Lower 1(0)</t>
  </si>
  <si>
    <t>Upper I(1)</t>
  </si>
  <si>
    <r>
      <rPr>
        <b/>
        <sz val="9"/>
        <rFont val="Times New Roman"/>
        <family val="1"/>
      </rPr>
      <t>Source:</t>
    </r>
    <r>
      <rPr>
        <sz val="9"/>
        <rFont val="Times New Roman"/>
        <family val="1"/>
      </rPr>
      <t xml:space="preserve"> Prepared by the Author</t>
    </r>
  </si>
  <si>
    <t>F-statistic</t>
  </si>
  <si>
    <r>
      <rPr>
        <b/>
        <sz val="9"/>
        <rFont val="Times New Roman"/>
        <family val="1"/>
      </rPr>
      <t>Table 7.</t>
    </r>
    <r>
      <rPr>
        <sz val="9"/>
        <rFont val="Times New Roman"/>
        <family val="1"/>
      </rPr>
      <t xml:space="preserve"> Short-Run and Long-Estimates</t>
    </r>
  </si>
  <si>
    <t>Panel A: Estimated short-run coefficients</t>
  </si>
  <si>
    <t>Regressors</t>
  </si>
  <si>
    <t>Coefficient</t>
  </si>
  <si>
    <t>Std. Error</t>
  </si>
  <si>
    <t>t-Statistic</t>
  </si>
  <si>
    <t>Prob.</t>
  </si>
  <si>
    <t>ECM(-1)</t>
  </si>
  <si>
    <t>3.4911*</t>
  </si>
  <si>
    <t>0.0010**</t>
  </si>
  <si>
    <t>2.0177*</t>
  </si>
  <si>
    <t>0.0493**</t>
  </si>
  <si>
    <t>Panel B: Estimated long-run coefficients</t>
  </si>
  <si>
    <t>C</t>
  </si>
  <si>
    <t>Panel C: Goodness of fit measures</t>
  </si>
  <si>
    <t>R-squared</t>
  </si>
  <si>
    <t>Adjusted R-squared</t>
  </si>
  <si>
    <t>Prob (F-statistic)</t>
  </si>
  <si>
    <t>Durbin-Watson stat</t>
  </si>
  <si>
    <t>Panel D: Diagnostic Statistical Checking</t>
  </si>
  <si>
    <t>Breusch-Godfrey Serial Correlation LM Test</t>
  </si>
  <si>
    <t>Breusch-Pagan-Godfrey test for Heteroskedasticity</t>
  </si>
  <si>
    <t>ARCH test for Heteroskedasticity</t>
  </si>
  <si>
    <t>Jarque-Bera Normality Test</t>
  </si>
  <si>
    <t>Ramsey RESET Specification Test</t>
  </si>
  <si>
    <t>****, ***, **, and * denote Jarque-Bera Statistic, Obs. R-squared, Probability, and t-statistic respectively.</t>
  </si>
  <si>
    <t>D(EXD)</t>
  </si>
  <si>
    <t>D(INF)</t>
  </si>
  <si>
    <t>D(FDI)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</si>
</sst>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/>
    <xf numFmtId="0" fontId="0" fillId="2" borderId="0" xfId="0" applyFill="1"/>
    <xf numFmtId="0" fontId="3" fillId="0" borderId="3" xfId="0" applyFont="1" applyBorder="1"/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0" xfId="0" applyFont="1"/>
    <xf numFmtId="9" fontId="3" fillId="0" borderId="5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6" fillId="0" borderId="0" xfId="0" applyFont="1"/>
    <xf numFmtId="0" fontId="6" fillId="0" borderId="2" xfId="0" applyFont="1" applyBorder="1"/>
    <xf numFmtId="0" fontId="6" fillId="0" borderId="0" xfId="0" applyFont="1" applyAlignment="1">
      <alignment horizontal="center"/>
    </xf>
    <xf numFmtId="11" fontId="6" fillId="0" borderId="0" xfId="0" applyNumberFormat="1" applyFont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0" xfId="0" applyFont="1"/>
    <xf numFmtId="0" fontId="4" fillId="0" borderId="3" xfId="0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/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4" fillId="0" borderId="3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8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74154-8C2C-471E-B27E-81F4AEBF8418}">
  <dimension ref="C4:O27"/>
  <sheetViews>
    <sheetView tabSelected="1" workbookViewId="0">
      <selection activeCell="K10" sqref="K10"/>
    </sheetView>
  </sheetViews>
  <sheetFormatPr defaultRowHeight="14.5" x14ac:dyDescent="0.35"/>
  <sheetData>
    <row r="4" spans="3:15" ht="15" thickBot="1" x14ac:dyDescent="0.4">
      <c r="C4" s="44" t="s">
        <v>6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</row>
    <row r="5" spans="3:15" ht="15" thickBot="1" x14ac:dyDescent="0.4">
      <c r="C5" s="39" t="s">
        <v>7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</row>
    <row r="6" spans="3:15" x14ac:dyDescent="0.35">
      <c r="C6" s="3" t="s">
        <v>8</v>
      </c>
      <c r="D6" s="40" t="s">
        <v>9</v>
      </c>
      <c r="E6" s="40"/>
      <c r="F6" s="40"/>
      <c r="G6" s="40"/>
      <c r="H6" s="40"/>
      <c r="I6" s="3"/>
      <c r="J6" s="40" t="s">
        <v>10</v>
      </c>
      <c r="K6" s="40"/>
      <c r="L6" s="40"/>
      <c r="M6" s="40"/>
      <c r="N6" s="40"/>
      <c r="O6" s="40"/>
    </row>
    <row r="7" spans="3:15" x14ac:dyDescent="0.35">
      <c r="C7" s="3"/>
      <c r="D7" s="4" t="s">
        <v>11</v>
      </c>
      <c r="E7" s="41" t="s">
        <v>12</v>
      </c>
      <c r="F7" s="41"/>
      <c r="G7" s="41"/>
      <c r="H7" s="5" t="s">
        <v>13</v>
      </c>
      <c r="I7" s="6" t="s">
        <v>14</v>
      </c>
      <c r="J7" s="5" t="s">
        <v>11</v>
      </c>
      <c r="K7" s="41" t="s">
        <v>12</v>
      </c>
      <c r="L7" s="41"/>
      <c r="M7" s="41"/>
      <c r="N7" s="5" t="s">
        <v>13</v>
      </c>
      <c r="O7" s="6" t="s">
        <v>14</v>
      </c>
    </row>
    <row r="8" spans="3:15" x14ac:dyDescent="0.35">
      <c r="C8" s="7"/>
      <c r="D8" s="7"/>
      <c r="E8" s="8">
        <v>0.01</v>
      </c>
      <c r="F8" s="8">
        <v>0.05</v>
      </c>
      <c r="G8" s="8">
        <v>0.1</v>
      </c>
      <c r="H8" s="7"/>
      <c r="I8" s="7"/>
      <c r="J8" s="7"/>
      <c r="K8" s="8">
        <v>0.01</v>
      </c>
      <c r="L8" s="8">
        <v>0.05</v>
      </c>
      <c r="M8" s="8">
        <v>0.1</v>
      </c>
      <c r="N8" s="7"/>
      <c r="O8" s="7"/>
    </row>
    <row r="9" spans="3:15" x14ac:dyDescent="0.35">
      <c r="C9" s="7" t="s">
        <v>0</v>
      </c>
      <c r="D9" s="9">
        <v>-2.5519210000000001</v>
      </c>
      <c r="E9" s="9">
        <v>-3.7378529999999999</v>
      </c>
      <c r="F9" s="9">
        <v>-2.9918779999999998</v>
      </c>
      <c r="G9" s="9">
        <v>-2.6355420000000001</v>
      </c>
      <c r="H9" s="9">
        <v>0.11650000000000001</v>
      </c>
      <c r="I9" s="10" t="s">
        <v>18</v>
      </c>
      <c r="J9" s="11" t="s">
        <v>19</v>
      </c>
      <c r="K9" s="11" t="s">
        <v>19</v>
      </c>
      <c r="L9" s="11" t="s">
        <v>19</v>
      </c>
      <c r="M9" s="11" t="s">
        <v>19</v>
      </c>
      <c r="N9" s="11" t="s">
        <v>19</v>
      </c>
      <c r="O9" s="10" t="s">
        <v>18</v>
      </c>
    </row>
    <row r="10" spans="3:15" x14ac:dyDescent="0.35">
      <c r="C10" s="7" t="s">
        <v>2</v>
      </c>
      <c r="D10" s="11">
        <v>0.99396099999999998</v>
      </c>
      <c r="E10" s="11">
        <v>-3.7378529999999999</v>
      </c>
      <c r="F10" s="11">
        <v>-2.9918779999999998</v>
      </c>
      <c r="G10" s="11">
        <v>-2.6355420000000001</v>
      </c>
      <c r="H10" s="9">
        <v>0.995</v>
      </c>
      <c r="I10" s="10" t="s">
        <v>15</v>
      </c>
      <c r="J10" s="11">
        <v>-3.4292020000000001</v>
      </c>
      <c r="K10" s="11">
        <v>-3.7529460000000001</v>
      </c>
      <c r="L10" s="11">
        <v>-2.9980639999999998</v>
      </c>
      <c r="M10" s="11">
        <v>-2.6387520000000002</v>
      </c>
      <c r="N10" s="9">
        <v>2.0299999999999999E-2</v>
      </c>
      <c r="O10" s="10" t="s">
        <v>18</v>
      </c>
    </row>
    <row r="11" spans="3:15" x14ac:dyDescent="0.35">
      <c r="C11" s="7" t="s">
        <v>5</v>
      </c>
      <c r="D11" s="11">
        <v>-1.7438210000000001</v>
      </c>
      <c r="E11" s="11">
        <v>-3.7378529999999999</v>
      </c>
      <c r="F11" s="11">
        <v>-2.9918779999999998</v>
      </c>
      <c r="G11" s="11">
        <v>-2.6355420000000001</v>
      </c>
      <c r="H11" s="9">
        <v>0.3977</v>
      </c>
      <c r="I11" s="12" t="s">
        <v>18</v>
      </c>
      <c r="J11" s="11" t="s">
        <v>19</v>
      </c>
      <c r="K11" s="11" t="s">
        <v>19</v>
      </c>
      <c r="L11" s="11" t="s">
        <v>19</v>
      </c>
      <c r="M11" s="11" t="s">
        <v>19</v>
      </c>
      <c r="N11" s="11" t="s">
        <v>19</v>
      </c>
      <c r="O11" s="12" t="s">
        <v>18</v>
      </c>
    </row>
    <row r="12" spans="3:15" x14ac:dyDescent="0.35">
      <c r="C12" s="7" t="s">
        <v>27</v>
      </c>
      <c r="D12" s="11">
        <v>-9.9729999999999992E-3</v>
      </c>
      <c r="E12" s="11">
        <v>-3.7378529999999999</v>
      </c>
      <c r="F12" s="11">
        <v>-2.9918779999999998</v>
      </c>
      <c r="G12" s="11">
        <v>-2.6355420000000001</v>
      </c>
      <c r="H12" s="9">
        <v>0.94869999999999999</v>
      </c>
      <c r="I12" s="12" t="s">
        <v>15</v>
      </c>
      <c r="J12" s="11">
        <v>-3.6190609999999999</v>
      </c>
      <c r="K12" s="11">
        <v>-3.7529460000000001</v>
      </c>
      <c r="L12" s="11">
        <v>-2.9980639999999998</v>
      </c>
      <c r="M12" s="11">
        <v>-2.6387520000000002</v>
      </c>
      <c r="N12" s="11">
        <v>1.35E-2</v>
      </c>
      <c r="O12" s="12" t="s">
        <v>18</v>
      </c>
    </row>
    <row r="13" spans="3:15" x14ac:dyDescent="0.35">
      <c r="C13" s="7" t="s">
        <v>3</v>
      </c>
      <c r="D13" s="11">
        <v>-4.667732</v>
      </c>
      <c r="E13" s="11">
        <v>-3.7378529999999999</v>
      </c>
      <c r="F13" s="11">
        <v>-2.9918779999999998</v>
      </c>
      <c r="G13" s="11">
        <v>-2.6355420000000001</v>
      </c>
      <c r="H13" s="9">
        <v>1.1999999999999999E-3</v>
      </c>
      <c r="I13" s="10" t="s">
        <v>18</v>
      </c>
      <c r="J13" s="11" t="s">
        <v>19</v>
      </c>
      <c r="K13" s="11" t="s">
        <v>19</v>
      </c>
      <c r="L13" s="11" t="s">
        <v>19</v>
      </c>
      <c r="M13" s="11" t="s">
        <v>19</v>
      </c>
      <c r="N13" s="11" t="s">
        <v>19</v>
      </c>
      <c r="O13" s="10" t="s">
        <v>18</v>
      </c>
    </row>
    <row r="14" spans="3:15" x14ac:dyDescent="0.35">
      <c r="C14" s="7" t="s">
        <v>4</v>
      </c>
      <c r="D14" s="11">
        <v>-0.60563599999999995</v>
      </c>
      <c r="E14" s="11">
        <v>-3.7529460000000001</v>
      </c>
      <c r="F14" s="11">
        <v>-2.9980639999999998</v>
      </c>
      <c r="G14" s="11">
        <v>-2.6387520000000002</v>
      </c>
      <c r="H14" s="9">
        <v>0.85099999999999998</v>
      </c>
      <c r="I14" s="10" t="s">
        <v>15</v>
      </c>
      <c r="J14" s="11">
        <v>-7.9602930000000001</v>
      </c>
      <c r="K14" s="11">
        <v>-3.7529460000000001</v>
      </c>
      <c r="L14" s="11">
        <v>-2.9980639999999998</v>
      </c>
      <c r="M14" s="11">
        <v>-2.6387520000000002</v>
      </c>
      <c r="N14" s="9" t="s">
        <v>17</v>
      </c>
      <c r="O14" s="10" t="s">
        <v>16</v>
      </c>
    </row>
    <row r="15" spans="3:15" ht="15" thickBot="1" x14ac:dyDescent="0.4">
      <c r="C15" s="45" t="s">
        <v>20</v>
      </c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</row>
    <row r="16" spans="3:15" x14ac:dyDescent="0.35">
      <c r="C16" s="3" t="s">
        <v>8</v>
      </c>
      <c r="D16" s="40" t="s">
        <v>9</v>
      </c>
      <c r="E16" s="40"/>
      <c r="F16" s="40"/>
      <c r="G16" s="40"/>
      <c r="H16" s="40"/>
      <c r="I16" s="3"/>
      <c r="J16" s="40" t="s">
        <v>10</v>
      </c>
      <c r="K16" s="40"/>
      <c r="L16" s="40"/>
      <c r="M16" s="40"/>
      <c r="N16" s="40"/>
      <c r="O16" s="40"/>
    </row>
    <row r="17" spans="3:15" x14ac:dyDescent="0.35">
      <c r="C17" s="3"/>
      <c r="D17" s="4" t="s">
        <v>11</v>
      </c>
      <c r="E17" s="41" t="s">
        <v>12</v>
      </c>
      <c r="F17" s="41"/>
      <c r="G17" s="41"/>
      <c r="H17" s="5" t="s">
        <v>13</v>
      </c>
      <c r="I17" s="6" t="s">
        <v>14</v>
      </c>
      <c r="J17" s="5" t="s">
        <v>11</v>
      </c>
      <c r="K17" s="41" t="s">
        <v>12</v>
      </c>
      <c r="L17" s="41"/>
      <c r="M17" s="41"/>
      <c r="N17" s="5" t="s">
        <v>13</v>
      </c>
      <c r="O17" s="6" t="s">
        <v>14</v>
      </c>
    </row>
    <row r="18" spans="3:15" x14ac:dyDescent="0.35">
      <c r="C18" s="7"/>
      <c r="D18" s="7"/>
      <c r="E18" s="8">
        <v>0.01</v>
      </c>
      <c r="F18" s="8">
        <v>0.05</v>
      </c>
      <c r="G18" s="8">
        <v>0.1</v>
      </c>
      <c r="H18" s="7"/>
      <c r="I18" s="7"/>
      <c r="J18" s="7"/>
      <c r="K18" s="8">
        <v>0.01</v>
      </c>
      <c r="L18" s="8">
        <v>0.05</v>
      </c>
      <c r="M18" s="8">
        <v>0.1</v>
      </c>
      <c r="N18" s="7"/>
      <c r="O18" s="7"/>
    </row>
    <row r="19" spans="3:15" x14ac:dyDescent="0.35">
      <c r="C19" s="7" t="s">
        <v>0</v>
      </c>
      <c r="D19" s="11">
        <v>-4.216977</v>
      </c>
      <c r="E19" s="11">
        <v>-4.4678950000000004</v>
      </c>
      <c r="F19" s="11">
        <v>-3.6449630000000002</v>
      </c>
      <c r="G19" s="11">
        <v>-3.2614519999999998</v>
      </c>
      <c r="H19" s="11">
        <v>1.6500000000000001E-2</v>
      </c>
      <c r="I19" s="10" t="s">
        <v>18</v>
      </c>
      <c r="J19" s="11" t="s">
        <v>19</v>
      </c>
      <c r="K19" s="11" t="s">
        <v>19</v>
      </c>
      <c r="L19" s="11" t="s">
        <v>19</v>
      </c>
      <c r="M19" s="11" t="s">
        <v>19</v>
      </c>
      <c r="N19" s="11" t="s">
        <v>19</v>
      </c>
      <c r="O19" s="10" t="s">
        <v>18</v>
      </c>
    </row>
    <row r="20" spans="3:15" x14ac:dyDescent="0.35">
      <c r="C20" s="7" t="s">
        <v>2</v>
      </c>
      <c r="D20" s="11">
        <v>-1.09413</v>
      </c>
      <c r="E20" s="11">
        <v>-4.3943089999999998</v>
      </c>
      <c r="F20" s="11">
        <v>-3.6121989999999999</v>
      </c>
      <c r="G20" s="11">
        <v>-3.2430789999999998</v>
      </c>
      <c r="H20" s="11">
        <v>0.90920000000000001</v>
      </c>
      <c r="I20" s="10" t="s">
        <v>15</v>
      </c>
      <c r="J20" s="11">
        <v>-3.9403130000000002</v>
      </c>
      <c r="K20" s="11">
        <v>-4.4163449999999997</v>
      </c>
      <c r="L20" s="11">
        <v>-3.6220330000000001</v>
      </c>
      <c r="M20" s="11">
        <v>-3.2485919999999999</v>
      </c>
      <c r="N20" s="9">
        <v>2.6700000000000002E-2</v>
      </c>
      <c r="O20" s="10" t="s">
        <v>18</v>
      </c>
    </row>
    <row r="21" spans="3:15" x14ac:dyDescent="0.35">
      <c r="C21" s="7" t="s">
        <v>5</v>
      </c>
      <c r="D21" s="11">
        <v>-4.216977</v>
      </c>
      <c r="E21" s="11">
        <v>-4.4678950000000004</v>
      </c>
      <c r="F21" s="11">
        <v>-3.6449630000000002</v>
      </c>
      <c r="G21" s="11">
        <v>-3.2614519999999998</v>
      </c>
      <c r="H21" s="11">
        <v>1.6500000000000001E-2</v>
      </c>
      <c r="I21" s="12" t="s">
        <v>18</v>
      </c>
      <c r="J21" s="11" t="s">
        <v>19</v>
      </c>
      <c r="K21" s="11" t="s">
        <v>19</v>
      </c>
      <c r="L21" s="11" t="s">
        <v>19</v>
      </c>
      <c r="M21" s="11" t="s">
        <v>19</v>
      </c>
      <c r="N21" s="11" t="s">
        <v>19</v>
      </c>
      <c r="O21" s="12" t="s">
        <v>18</v>
      </c>
    </row>
    <row r="22" spans="3:15" x14ac:dyDescent="0.35">
      <c r="C22" s="7" t="s">
        <v>27</v>
      </c>
      <c r="D22" s="11">
        <v>-1.348857</v>
      </c>
      <c r="E22" s="11">
        <v>-4.3943089999999998</v>
      </c>
      <c r="F22" s="11">
        <v>-3.6121989999999999</v>
      </c>
      <c r="G22" s="11">
        <v>-3.2430789999999998</v>
      </c>
      <c r="H22" s="11">
        <v>0.84989999999999999</v>
      </c>
      <c r="I22" s="12" t="s">
        <v>15</v>
      </c>
      <c r="J22" s="11">
        <v>-3.778235</v>
      </c>
      <c r="K22" s="11">
        <v>-4.4163449999999997</v>
      </c>
      <c r="L22" s="11">
        <v>-3.6220330000000001</v>
      </c>
      <c r="M22" s="11">
        <v>-3.2485919999999999</v>
      </c>
      <c r="N22" s="11">
        <v>3.6900000000000002E-2</v>
      </c>
      <c r="O22" s="12" t="s">
        <v>18</v>
      </c>
    </row>
    <row r="23" spans="3:15" x14ac:dyDescent="0.35">
      <c r="C23" s="7" t="s">
        <v>3</v>
      </c>
      <c r="D23" s="11">
        <v>-4.5491950000000001</v>
      </c>
      <c r="E23" s="11">
        <v>-4.3943089999999998</v>
      </c>
      <c r="F23" s="11">
        <v>-3.6121989999999999</v>
      </c>
      <c r="G23" s="11">
        <v>-3.2430789999999998</v>
      </c>
      <c r="H23" s="11">
        <v>7.1999999999999998E-3</v>
      </c>
      <c r="I23" s="10" t="s">
        <v>18</v>
      </c>
      <c r="J23" s="11" t="s">
        <v>19</v>
      </c>
      <c r="K23" s="11" t="s">
        <v>19</v>
      </c>
      <c r="L23" s="11" t="s">
        <v>19</v>
      </c>
      <c r="M23" s="11" t="s">
        <v>19</v>
      </c>
      <c r="N23" s="11" t="s">
        <v>19</v>
      </c>
      <c r="O23" s="10" t="s">
        <v>18</v>
      </c>
    </row>
    <row r="24" spans="3:15" x14ac:dyDescent="0.35">
      <c r="C24" s="7" t="s">
        <v>4</v>
      </c>
      <c r="D24" s="11">
        <v>-3.9844569999999999</v>
      </c>
      <c r="E24" s="11">
        <v>-4.4983069999999996</v>
      </c>
      <c r="F24" s="11">
        <v>-3.6584460000000001</v>
      </c>
      <c r="G24" s="11">
        <v>-3.2689729999999999</v>
      </c>
      <c r="H24" s="11">
        <v>2.7099999999999999E-2</v>
      </c>
      <c r="I24" s="10" t="s">
        <v>18</v>
      </c>
      <c r="J24" s="11" t="s">
        <v>19</v>
      </c>
      <c r="K24" s="11" t="s">
        <v>19</v>
      </c>
      <c r="L24" s="11" t="s">
        <v>19</v>
      </c>
      <c r="M24" s="11" t="s">
        <v>19</v>
      </c>
      <c r="N24" s="11" t="s">
        <v>19</v>
      </c>
      <c r="O24" s="10" t="s">
        <v>18</v>
      </c>
    </row>
    <row r="25" spans="3:15" x14ac:dyDescent="0.35">
      <c r="C25" s="43" t="s">
        <v>21</v>
      </c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</row>
    <row r="26" spans="3:15" x14ac:dyDescent="0.35">
      <c r="C26" s="38" t="s">
        <v>22</v>
      </c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</row>
    <row r="27" spans="3:15" x14ac:dyDescent="0.35"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</sheetData>
  <mergeCells count="13">
    <mergeCell ref="C26:O26"/>
    <mergeCell ref="C15:O15"/>
    <mergeCell ref="D16:H16"/>
    <mergeCell ref="J16:O16"/>
    <mergeCell ref="E17:G17"/>
    <mergeCell ref="K17:M17"/>
    <mergeCell ref="C25:O25"/>
    <mergeCell ref="C4:O4"/>
    <mergeCell ref="C5:O5"/>
    <mergeCell ref="D6:H6"/>
    <mergeCell ref="J6:O6"/>
    <mergeCell ref="E7:G7"/>
    <mergeCell ref="K7:M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625A-F4DD-41F3-A6AC-298702B8F05F}">
  <dimension ref="E5:R27"/>
  <sheetViews>
    <sheetView topLeftCell="A3" workbookViewId="0">
      <selection activeCell="I9" sqref="I9"/>
    </sheetView>
  </sheetViews>
  <sheetFormatPr defaultRowHeight="14.5" x14ac:dyDescent="0.35"/>
  <sheetData>
    <row r="5" spans="5:18" ht="15" thickBot="1" x14ac:dyDescent="0.4">
      <c r="E5" s="7"/>
      <c r="F5" s="13" t="s">
        <v>23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spans="5:18" ht="15" thickBot="1" x14ac:dyDescent="0.4">
      <c r="E6" s="7"/>
      <c r="F6" s="39" t="s">
        <v>24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</row>
    <row r="7" spans="5:18" x14ac:dyDescent="0.35">
      <c r="E7" s="7"/>
      <c r="F7" s="3" t="s">
        <v>8</v>
      </c>
      <c r="G7" s="40" t="s">
        <v>9</v>
      </c>
      <c r="H7" s="40"/>
      <c r="I7" s="40"/>
      <c r="J7" s="40"/>
      <c r="K7" s="40"/>
      <c r="L7" s="3"/>
      <c r="M7" s="40" t="s">
        <v>10</v>
      </c>
      <c r="N7" s="40"/>
      <c r="O7" s="40"/>
      <c r="P7" s="40"/>
      <c r="Q7" s="40"/>
      <c r="R7" s="40"/>
    </row>
    <row r="8" spans="5:18" x14ac:dyDescent="0.35">
      <c r="E8" s="7"/>
      <c r="F8" s="3"/>
      <c r="G8" s="4" t="s">
        <v>11</v>
      </c>
      <c r="H8" s="41" t="s">
        <v>12</v>
      </c>
      <c r="I8" s="41"/>
      <c r="J8" s="41"/>
      <c r="K8" s="4" t="s">
        <v>13</v>
      </c>
      <c r="L8" s="3" t="s">
        <v>14</v>
      </c>
      <c r="M8" s="5" t="s">
        <v>11</v>
      </c>
      <c r="N8" s="41" t="s">
        <v>12</v>
      </c>
      <c r="O8" s="41"/>
      <c r="P8" s="41"/>
      <c r="Q8" s="5" t="s">
        <v>13</v>
      </c>
      <c r="R8" s="6" t="s">
        <v>14</v>
      </c>
    </row>
    <row r="9" spans="5:18" x14ac:dyDescent="0.35">
      <c r="E9" s="7"/>
      <c r="F9" s="7"/>
      <c r="G9" s="7"/>
      <c r="H9" s="8">
        <v>0.01</v>
      </c>
      <c r="I9" s="8">
        <v>0.05</v>
      </c>
      <c r="J9" s="8">
        <v>0.1</v>
      </c>
      <c r="K9" s="7"/>
      <c r="L9" s="7"/>
      <c r="M9" s="7"/>
      <c r="N9" s="8">
        <v>0.01</v>
      </c>
      <c r="O9" s="8">
        <v>0.05</v>
      </c>
      <c r="P9" s="8">
        <v>0.1</v>
      </c>
      <c r="Q9" s="7"/>
      <c r="R9" s="7"/>
    </row>
    <row r="10" spans="5:18" x14ac:dyDescent="0.35">
      <c r="E10" s="7"/>
      <c r="F10" s="7" t="s">
        <v>0</v>
      </c>
      <c r="G10" s="11">
        <v>-2.5519210000000001</v>
      </c>
      <c r="H10" s="11">
        <v>-3.5460989999999999</v>
      </c>
      <c r="I10" s="11">
        <v>-2.9918779999999998</v>
      </c>
      <c r="J10" s="11">
        <v>-2.6355420000000001</v>
      </c>
      <c r="K10" s="11">
        <v>0.11650000000000001</v>
      </c>
      <c r="L10" s="10" t="s">
        <v>18</v>
      </c>
      <c r="M10" s="11" t="s">
        <v>19</v>
      </c>
      <c r="N10" s="11" t="s">
        <v>19</v>
      </c>
      <c r="O10" s="11" t="s">
        <v>19</v>
      </c>
      <c r="P10" s="11" t="s">
        <v>19</v>
      </c>
      <c r="Q10" s="11" t="s">
        <v>19</v>
      </c>
      <c r="R10" s="10" t="s">
        <v>18</v>
      </c>
    </row>
    <row r="11" spans="5:18" x14ac:dyDescent="0.35">
      <c r="E11" s="7"/>
      <c r="F11" s="7" t="s">
        <v>2</v>
      </c>
      <c r="G11" s="11">
        <v>0.78394799999999998</v>
      </c>
      <c r="H11" s="11">
        <v>-3.7378529999999999</v>
      </c>
      <c r="I11" s="11">
        <v>-2.9918779999999998</v>
      </c>
      <c r="J11" s="11">
        <v>-2.6355420000000001</v>
      </c>
      <c r="K11" s="11">
        <v>0.99150000000000005</v>
      </c>
      <c r="L11" s="10" t="s">
        <v>15</v>
      </c>
      <c r="M11" s="11">
        <v>-3.4292020000000001</v>
      </c>
      <c r="N11" s="11">
        <v>-3.7529460000000001</v>
      </c>
      <c r="O11" s="11">
        <v>-2.9980639999999998</v>
      </c>
      <c r="P11" s="11">
        <v>-2.6387520000000002</v>
      </c>
      <c r="Q11" s="11">
        <v>2.0299999999999999E-2</v>
      </c>
      <c r="R11" s="10" t="s">
        <v>18</v>
      </c>
    </row>
    <row r="12" spans="5:18" x14ac:dyDescent="0.35">
      <c r="E12" s="7"/>
      <c r="F12" s="7" t="s">
        <v>5</v>
      </c>
      <c r="G12" s="11">
        <v>-1.7438210000000001</v>
      </c>
      <c r="H12" s="11">
        <v>-3.7378529999999999</v>
      </c>
      <c r="I12" s="11">
        <v>-2.9918779999999998</v>
      </c>
      <c r="J12" s="11">
        <v>-2.6355420000000001</v>
      </c>
      <c r="K12" s="9">
        <v>0.3977</v>
      </c>
      <c r="L12" s="12" t="s">
        <v>18</v>
      </c>
      <c r="M12" s="11" t="s">
        <v>19</v>
      </c>
      <c r="N12" s="11" t="s">
        <v>19</v>
      </c>
      <c r="O12" s="11" t="s">
        <v>19</v>
      </c>
      <c r="P12" s="11" t="s">
        <v>19</v>
      </c>
      <c r="Q12" s="11" t="s">
        <v>19</v>
      </c>
      <c r="R12" s="12" t="s">
        <v>18</v>
      </c>
    </row>
    <row r="13" spans="5:18" x14ac:dyDescent="0.35">
      <c r="E13" s="7"/>
      <c r="F13" s="7" t="s">
        <v>27</v>
      </c>
      <c r="G13" s="11">
        <v>-0.19766800000000001</v>
      </c>
      <c r="H13" s="11">
        <v>-3.7378529999999999</v>
      </c>
      <c r="I13" s="11">
        <v>-2.9918779999999998</v>
      </c>
      <c r="J13" s="11">
        <v>-2.6355420000000001</v>
      </c>
      <c r="K13" s="9">
        <v>0.92630000000000001</v>
      </c>
      <c r="L13" s="12" t="s">
        <v>15</v>
      </c>
      <c r="M13" s="11">
        <v>-3.6190609999999999</v>
      </c>
      <c r="N13" s="11">
        <v>-3.7529460000000001</v>
      </c>
      <c r="O13" s="11">
        <v>-2.9980639999999998</v>
      </c>
      <c r="P13" s="11">
        <v>-2.6387520000000002</v>
      </c>
      <c r="Q13" s="11">
        <v>1.35E-2</v>
      </c>
      <c r="R13" s="12" t="s">
        <v>18</v>
      </c>
    </row>
    <row r="14" spans="5:18" x14ac:dyDescent="0.35">
      <c r="E14" s="7"/>
      <c r="F14" s="7" t="s">
        <v>3</v>
      </c>
      <c r="G14" s="11">
        <v>-4.667732</v>
      </c>
      <c r="H14" s="11">
        <v>-3.7378529999999999</v>
      </c>
      <c r="I14" s="11">
        <v>-2.9918779999999998</v>
      </c>
      <c r="J14" s="11">
        <v>-2.6355420000000001</v>
      </c>
      <c r="K14" s="11">
        <v>1.1999999999999999E-3</v>
      </c>
      <c r="L14" s="10" t="s">
        <v>18</v>
      </c>
      <c r="M14" s="11" t="s">
        <v>19</v>
      </c>
      <c r="N14" s="11" t="s">
        <v>19</v>
      </c>
      <c r="O14" s="11" t="s">
        <v>19</v>
      </c>
      <c r="P14" s="11" t="s">
        <v>19</v>
      </c>
      <c r="Q14" s="11" t="s">
        <v>19</v>
      </c>
      <c r="R14" s="10" t="s">
        <v>18</v>
      </c>
    </row>
    <row r="15" spans="5:18" x14ac:dyDescent="0.35">
      <c r="E15" s="7"/>
      <c r="F15" s="7" t="s">
        <v>4</v>
      </c>
      <c r="G15" s="11">
        <v>-0.60563599999999995</v>
      </c>
      <c r="H15" s="11">
        <v>-3.7529460000000001</v>
      </c>
      <c r="I15" s="11">
        <v>-2.9980639999999998</v>
      </c>
      <c r="J15" s="11">
        <v>-2.6387520000000002</v>
      </c>
      <c r="K15" s="11">
        <v>0.85099999999999998</v>
      </c>
      <c r="L15" s="10" t="s">
        <v>15</v>
      </c>
      <c r="M15" s="11">
        <v>-7.9602930000000001</v>
      </c>
      <c r="N15" s="11">
        <v>-3.7529460000000001</v>
      </c>
      <c r="O15" s="11">
        <v>-2.9980639999999998</v>
      </c>
      <c r="P15" s="11">
        <v>-2.6387520000000002</v>
      </c>
      <c r="Q15" s="11">
        <v>0</v>
      </c>
      <c r="R15" s="10" t="s">
        <v>16</v>
      </c>
    </row>
    <row r="16" spans="5:18" ht="15" thickBot="1" x14ac:dyDescent="0.4">
      <c r="E16" s="7"/>
      <c r="F16" s="42" t="s">
        <v>25</v>
      </c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</row>
    <row r="17" spans="5:18" x14ac:dyDescent="0.35">
      <c r="E17" s="7"/>
      <c r="F17" s="3" t="s">
        <v>8</v>
      </c>
      <c r="G17" s="40" t="s">
        <v>9</v>
      </c>
      <c r="H17" s="40"/>
      <c r="I17" s="40"/>
      <c r="J17" s="40"/>
      <c r="K17" s="40"/>
      <c r="L17" s="3"/>
      <c r="M17" s="40" t="s">
        <v>10</v>
      </c>
      <c r="N17" s="40"/>
      <c r="O17" s="40"/>
      <c r="P17" s="40"/>
      <c r="Q17" s="40"/>
      <c r="R17" s="40"/>
    </row>
    <row r="18" spans="5:18" x14ac:dyDescent="0.35">
      <c r="E18" s="7"/>
      <c r="F18" s="3"/>
      <c r="G18" s="4" t="s">
        <v>11</v>
      </c>
      <c r="H18" s="41" t="s">
        <v>12</v>
      </c>
      <c r="I18" s="41"/>
      <c r="J18" s="41"/>
      <c r="K18" s="5" t="s">
        <v>13</v>
      </c>
      <c r="L18" s="6" t="s">
        <v>14</v>
      </c>
      <c r="M18" s="5" t="s">
        <v>11</v>
      </c>
      <c r="N18" s="41" t="s">
        <v>12</v>
      </c>
      <c r="O18" s="41"/>
      <c r="P18" s="41"/>
      <c r="Q18" s="5" t="s">
        <v>13</v>
      </c>
      <c r="R18" s="6" t="s">
        <v>14</v>
      </c>
    </row>
    <row r="19" spans="5:18" x14ac:dyDescent="0.35">
      <c r="E19" s="7"/>
      <c r="F19" s="7"/>
      <c r="G19" s="7"/>
      <c r="H19" s="8">
        <v>0.01</v>
      </c>
      <c r="I19" s="8">
        <v>0.05</v>
      </c>
      <c r="J19" s="8">
        <v>0.1</v>
      </c>
      <c r="K19" s="7"/>
      <c r="L19" s="7"/>
      <c r="M19" s="7"/>
      <c r="N19" s="8">
        <v>0.01</v>
      </c>
      <c r="O19" s="8">
        <v>0.05</v>
      </c>
      <c r="P19" s="8">
        <v>0.1</v>
      </c>
      <c r="Q19" s="7"/>
      <c r="R19" s="7"/>
    </row>
    <row r="20" spans="5:18" x14ac:dyDescent="0.35">
      <c r="E20" s="7"/>
      <c r="F20" s="7" t="s">
        <v>0</v>
      </c>
      <c r="G20" s="11">
        <v>-4.0231870000000001</v>
      </c>
      <c r="H20" s="11">
        <v>-4.3943089999999998</v>
      </c>
      <c r="I20" s="11">
        <v>-3.6121989999999999</v>
      </c>
      <c r="J20" s="11">
        <v>-3.2430789999999998</v>
      </c>
      <c r="K20" s="11">
        <v>2.1899999999999999E-2</v>
      </c>
      <c r="L20" s="10" t="s">
        <v>18</v>
      </c>
      <c r="M20" s="11" t="s">
        <v>19</v>
      </c>
      <c r="N20" s="11" t="s">
        <v>19</v>
      </c>
      <c r="O20" s="11" t="s">
        <v>19</v>
      </c>
      <c r="P20" s="11" t="s">
        <v>19</v>
      </c>
      <c r="Q20" s="11" t="s">
        <v>19</v>
      </c>
      <c r="R20" s="10" t="s">
        <v>18</v>
      </c>
    </row>
    <row r="21" spans="5:18" x14ac:dyDescent="0.35">
      <c r="E21" s="7"/>
      <c r="F21" s="7" t="s">
        <v>2</v>
      </c>
      <c r="G21" s="11">
        <v>-1.09413</v>
      </c>
      <c r="H21" s="11">
        <v>-4.3943089999999998</v>
      </c>
      <c r="I21" s="11">
        <v>-3.6121989999999999</v>
      </c>
      <c r="J21" s="11">
        <v>-3.2430789999999998</v>
      </c>
      <c r="K21" s="11">
        <v>0.90920000000000001</v>
      </c>
      <c r="L21" s="10" t="s">
        <v>15</v>
      </c>
      <c r="M21" s="11">
        <v>-3.9403130000000002</v>
      </c>
      <c r="N21" s="11">
        <v>-4.4163449999999997</v>
      </c>
      <c r="O21" s="11">
        <v>-3.6220330000000001</v>
      </c>
      <c r="P21" s="11">
        <v>-3.2485919999999999</v>
      </c>
      <c r="Q21" s="11">
        <v>2.6700000000000002E-2</v>
      </c>
      <c r="R21" s="11" t="s">
        <v>18</v>
      </c>
    </row>
    <row r="22" spans="5:18" x14ac:dyDescent="0.35">
      <c r="E22" s="7"/>
      <c r="F22" s="7" t="s">
        <v>5</v>
      </c>
      <c r="G22" s="11">
        <v>-4.216977</v>
      </c>
      <c r="H22" s="11">
        <v>-4.4678950000000004</v>
      </c>
      <c r="I22" s="11">
        <v>-3.6449630000000002</v>
      </c>
      <c r="J22" s="11">
        <v>-3.2614519999999998</v>
      </c>
      <c r="K22" s="9">
        <v>1.6500000000000001E-2</v>
      </c>
      <c r="L22" s="12" t="s">
        <v>18</v>
      </c>
      <c r="M22" s="11" t="s">
        <v>19</v>
      </c>
      <c r="N22" s="11" t="s">
        <v>19</v>
      </c>
      <c r="O22" s="11" t="s">
        <v>19</v>
      </c>
      <c r="P22" s="11" t="s">
        <v>19</v>
      </c>
      <c r="Q22" s="11" t="s">
        <v>19</v>
      </c>
      <c r="R22" s="12" t="s">
        <v>18</v>
      </c>
    </row>
    <row r="23" spans="5:18" x14ac:dyDescent="0.35">
      <c r="E23" s="7"/>
      <c r="F23" s="7" t="s">
        <v>27</v>
      </c>
      <c r="G23" s="11">
        <v>-1.453344</v>
      </c>
      <c r="H23" s="11">
        <v>-4.3943089999999998</v>
      </c>
      <c r="I23" s="11">
        <v>-3.6121989999999999</v>
      </c>
      <c r="J23" s="11">
        <v>-3.2430789999999998</v>
      </c>
      <c r="K23" s="9">
        <v>0.81730000000000003</v>
      </c>
      <c r="L23" s="12" t="s">
        <v>15</v>
      </c>
      <c r="M23" s="11">
        <v>-3.7456719999999999</v>
      </c>
      <c r="N23" s="11">
        <v>-4.4163449999999997</v>
      </c>
      <c r="O23" s="11">
        <v>-3.6220330000000001</v>
      </c>
      <c r="P23" s="11">
        <v>-3.2485919999999999</v>
      </c>
      <c r="Q23" s="11">
        <v>3.9300000000000002E-2</v>
      </c>
      <c r="R23" s="12" t="s">
        <v>18</v>
      </c>
    </row>
    <row r="24" spans="5:18" x14ac:dyDescent="0.35">
      <c r="E24" s="7"/>
      <c r="F24" s="7" t="s">
        <v>3</v>
      </c>
      <c r="G24" s="11">
        <v>-4.5491950000000001</v>
      </c>
      <c r="H24" s="11">
        <v>-4.3943089999999998</v>
      </c>
      <c r="I24" s="11">
        <v>-3.6121989999999999</v>
      </c>
      <c r="J24" s="11">
        <v>-3.2430789999999998</v>
      </c>
      <c r="K24" s="11">
        <v>7.1999999999999998E-3</v>
      </c>
      <c r="L24" s="10" t="s">
        <v>18</v>
      </c>
      <c r="M24" s="11" t="s">
        <v>19</v>
      </c>
      <c r="N24" s="11" t="s">
        <v>19</v>
      </c>
      <c r="O24" s="11" t="s">
        <v>19</v>
      </c>
      <c r="P24" s="11" t="s">
        <v>19</v>
      </c>
      <c r="Q24" s="11" t="s">
        <v>19</v>
      </c>
      <c r="R24" s="10" t="s">
        <v>18</v>
      </c>
    </row>
    <row r="25" spans="5:18" x14ac:dyDescent="0.35">
      <c r="E25" s="7"/>
      <c r="F25" s="7" t="s">
        <v>4</v>
      </c>
      <c r="G25" s="11">
        <v>-3.9844569999999999</v>
      </c>
      <c r="H25" s="11">
        <v>-4.4983069999999996</v>
      </c>
      <c r="I25" s="11">
        <v>-3.6584460000000001</v>
      </c>
      <c r="J25" s="11">
        <v>-3.2689729999999999</v>
      </c>
      <c r="K25" s="11">
        <v>2.7099999999999999E-2</v>
      </c>
      <c r="L25" s="10" t="s">
        <v>18</v>
      </c>
      <c r="M25" s="11" t="s">
        <v>19</v>
      </c>
      <c r="N25" s="11" t="s">
        <v>19</v>
      </c>
      <c r="O25" s="11" t="s">
        <v>19</v>
      </c>
      <c r="P25" s="11" t="s">
        <v>19</v>
      </c>
      <c r="Q25" s="11" t="s">
        <v>19</v>
      </c>
      <c r="R25" s="10" t="s">
        <v>18</v>
      </c>
    </row>
    <row r="26" spans="5:18" x14ac:dyDescent="0.35">
      <c r="F26" s="43" t="s">
        <v>21</v>
      </c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</row>
    <row r="27" spans="5:18" x14ac:dyDescent="0.35">
      <c r="F27" s="38" t="s">
        <v>26</v>
      </c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</row>
  </sheetData>
  <mergeCells count="12">
    <mergeCell ref="F27:R27"/>
    <mergeCell ref="F6:R6"/>
    <mergeCell ref="G7:K7"/>
    <mergeCell ref="M7:R7"/>
    <mergeCell ref="H8:J8"/>
    <mergeCell ref="N8:P8"/>
    <mergeCell ref="F16:R16"/>
    <mergeCell ref="G17:K17"/>
    <mergeCell ref="M17:R17"/>
    <mergeCell ref="H18:J18"/>
    <mergeCell ref="N18:P18"/>
    <mergeCell ref="F26:R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A9E09-C12B-4C61-85CA-ADBD983F1459}">
  <dimension ref="G7:N65"/>
  <sheetViews>
    <sheetView topLeftCell="B60" workbookViewId="0">
      <selection activeCell="H57" sqref="H57:N58"/>
    </sheetView>
  </sheetViews>
  <sheetFormatPr defaultRowHeight="14.5" x14ac:dyDescent="0.35"/>
  <sheetData>
    <row r="7" spans="7:14" ht="15" thickBot="1" x14ac:dyDescent="0.4">
      <c r="G7" s="15"/>
      <c r="H7" s="46" t="s">
        <v>28</v>
      </c>
      <c r="I7" s="46"/>
      <c r="J7" s="46"/>
      <c r="K7" s="46"/>
      <c r="L7" s="46"/>
      <c r="M7" s="46"/>
      <c r="N7" s="46"/>
    </row>
    <row r="8" spans="7:14" ht="15" thickBot="1" x14ac:dyDescent="0.4">
      <c r="G8" s="15"/>
      <c r="H8" s="16" t="s">
        <v>29</v>
      </c>
      <c r="I8" s="16" t="s">
        <v>30</v>
      </c>
      <c r="J8" s="16" t="s">
        <v>31</v>
      </c>
      <c r="K8" s="16" t="s">
        <v>32</v>
      </c>
      <c r="L8" s="16" t="s">
        <v>33</v>
      </c>
      <c r="M8" s="16" t="s">
        <v>34</v>
      </c>
      <c r="N8" s="16" t="s">
        <v>35</v>
      </c>
    </row>
    <row r="9" spans="7:14" x14ac:dyDescent="0.35">
      <c r="G9" s="15"/>
      <c r="H9" s="17">
        <v>0</v>
      </c>
      <c r="I9" s="17">
        <v>-780.12300000000005</v>
      </c>
      <c r="J9" s="17" t="s">
        <v>36</v>
      </c>
      <c r="K9" s="18">
        <v>2.8100000000000001E+23</v>
      </c>
      <c r="L9" s="17">
        <v>65.343580000000003</v>
      </c>
      <c r="M9" s="17">
        <v>65.539919999999995</v>
      </c>
      <c r="N9" s="17">
        <v>65.395669999999996</v>
      </c>
    </row>
    <row r="10" spans="7:14" x14ac:dyDescent="0.35">
      <c r="G10" s="15"/>
      <c r="H10" s="19">
        <v>1</v>
      </c>
      <c r="I10" s="19">
        <v>-733.67229999999995</v>
      </c>
      <c r="J10" s="19" t="s">
        <v>44</v>
      </c>
      <c r="K10" s="19" t="s">
        <v>45</v>
      </c>
      <c r="L10" s="19" t="s">
        <v>46</v>
      </c>
      <c r="M10" s="19" t="s">
        <v>47</v>
      </c>
      <c r="N10" s="19" t="s">
        <v>48</v>
      </c>
    </row>
    <row r="11" spans="7:14" x14ac:dyDescent="0.35">
      <c r="G11" s="15"/>
      <c r="H11" s="15" t="s">
        <v>37</v>
      </c>
      <c r="I11" s="17"/>
      <c r="J11" s="17"/>
      <c r="K11" s="17"/>
      <c r="L11" s="17"/>
      <c r="M11" s="17"/>
      <c r="N11" s="17"/>
    </row>
    <row r="12" spans="7:14" x14ac:dyDescent="0.35">
      <c r="G12" s="15"/>
      <c r="H12" s="15" t="s">
        <v>38</v>
      </c>
      <c r="I12" s="15"/>
      <c r="J12" s="15"/>
      <c r="K12" s="15"/>
      <c r="L12" s="15"/>
      <c r="M12" s="15"/>
      <c r="N12" s="15"/>
    </row>
    <row r="13" spans="7:14" x14ac:dyDescent="0.35">
      <c r="G13" s="15"/>
      <c r="H13" s="15" t="s">
        <v>39</v>
      </c>
      <c r="I13" s="15"/>
      <c r="J13" s="15"/>
      <c r="K13" s="15"/>
      <c r="L13" s="15"/>
      <c r="M13" s="15"/>
      <c r="N13" s="15"/>
    </row>
    <row r="14" spans="7:14" x14ac:dyDescent="0.35">
      <c r="G14" s="15"/>
      <c r="H14" s="15" t="s">
        <v>40</v>
      </c>
      <c r="I14" s="15"/>
      <c r="J14" s="15"/>
      <c r="K14" s="15"/>
      <c r="L14" s="15"/>
      <c r="M14" s="15"/>
      <c r="N14" s="15"/>
    </row>
    <row r="15" spans="7:14" x14ac:dyDescent="0.35">
      <c r="G15" s="15"/>
      <c r="H15" s="15" t="s">
        <v>41</v>
      </c>
      <c r="I15" s="15"/>
      <c r="J15" s="15"/>
      <c r="K15" s="15"/>
      <c r="L15" s="15"/>
      <c r="M15" s="15"/>
      <c r="N15" s="15"/>
    </row>
    <row r="16" spans="7:14" x14ac:dyDescent="0.35">
      <c r="G16" s="15"/>
      <c r="H16" s="15" t="s">
        <v>42</v>
      </c>
      <c r="I16" s="15"/>
      <c r="J16" s="15"/>
      <c r="K16" s="15"/>
      <c r="L16" s="15"/>
      <c r="M16" s="15"/>
      <c r="N16" s="15"/>
    </row>
    <row r="17" spans="7:14" x14ac:dyDescent="0.35">
      <c r="G17" s="15"/>
      <c r="H17" s="15" t="s">
        <v>43</v>
      </c>
      <c r="I17" s="15"/>
      <c r="J17" s="15"/>
      <c r="K17" s="15"/>
      <c r="L17" s="15"/>
      <c r="M17" s="15"/>
      <c r="N17" s="15"/>
    </row>
    <row r="18" spans="7:14" x14ac:dyDescent="0.35">
      <c r="G18" s="15"/>
      <c r="H18" s="15"/>
      <c r="I18" s="15"/>
      <c r="J18" s="15"/>
      <c r="K18" s="15"/>
      <c r="L18" s="15"/>
      <c r="M18" s="15"/>
      <c r="N18" s="15"/>
    </row>
    <row r="19" spans="7:14" x14ac:dyDescent="0.35">
      <c r="G19" s="15"/>
      <c r="H19" s="15"/>
      <c r="I19" s="15"/>
      <c r="J19" s="15"/>
      <c r="K19" s="15"/>
      <c r="L19" s="15"/>
      <c r="M19" s="15"/>
      <c r="N19" s="15"/>
    </row>
    <row r="32" spans="7:14" ht="15" thickBot="1" x14ac:dyDescent="0.4">
      <c r="G32" s="15"/>
      <c r="H32" s="46" t="s">
        <v>28</v>
      </c>
      <c r="I32" s="46"/>
      <c r="J32" s="46"/>
      <c r="K32" s="46"/>
      <c r="L32" s="46"/>
      <c r="M32" s="46"/>
      <c r="N32" s="46"/>
    </row>
    <row r="33" spans="7:14" ht="15" thickBot="1" x14ac:dyDescent="0.4">
      <c r="G33" s="15"/>
      <c r="H33" s="16" t="s">
        <v>29</v>
      </c>
      <c r="I33" s="16" t="s">
        <v>30</v>
      </c>
      <c r="J33" s="16" t="s">
        <v>31</v>
      </c>
      <c r="K33" s="16" t="s">
        <v>32</v>
      </c>
      <c r="L33" s="16" t="s">
        <v>33</v>
      </c>
      <c r="M33" s="16" t="s">
        <v>34</v>
      </c>
      <c r="N33" s="16" t="s">
        <v>35</v>
      </c>
    </row>
    <row r="34" spans="7:14" x14ac:dyDescent="0.35">
      <c r="G34" s="15"/>
      <c r="H34" s="17">
        <v>0</v>
      </c>
      <c r="I34" s="17">
        <v>-164.97020000000001</v>
      </c>
      <c r="J34" s="17" t="s">
        <v>36</v>
      </c>
      <c r="K34" s="18">
        <v>15.32573</v>
      </c>
      <c r="L34" s="17">
        <v>14.08085</v>
      </c>
      <c r="M34" s="17">
        <v>14.277189999999999</v>
      </c>
      <c r="N34" s="17">
        <v>14.13294</v>
      </c>
    </row>
    <row r="35" spans="7:14" x14ac:dyDescent="0.35">
      <c r="G35" s="15"/>
      <c r="H35" s="19">
        <v>1</v>
      </c>
      <c r="I35" s="19">
        <v>-130.89529999999999</v>
      </c>
      <c r="J35" s="19" t="s">
        <v>49</v>
      </c>
      <c r="K35" s="19" t="s">
        <v>50</v>
      </c>
      <c r="L35" s="19" t="s">
        <v>51</v>
      </c>
      <c r="M35" s="19" t="s">
        <v>52</v>
      </c>
      <c r="N35" s="19" t="s">
        <v>53</v>
      </c>
    </row>
    <row r="36" spans="7:14" x14ac:dyDescent="0.35">
      <c r="G36" s="15"/>
      <c r="H36" s="15" t="s">
        <v>37</v>
      </c>
      <c r="I36" s="17"/>
      <c r="J36" s="17"/>
      <c r="K36" s="17"/>
      <c r="L36" s="17"/>
      <c r="M36" s="17"/>
      <c r="N36" s="17"/>
    </row>
    <row r="37" spans="7:14" x14ac:dyDescent="0.35">
      <c r="G37" s="15"/>
      <c r="H37" s="15" t="s">
        <v>38</v>
      </c>
      <c r="I37" s="15"/>
      <c r="J37" s="15"/>
      <c r="K37" s="15"/>
      <c r="L37" s="15"/>
      <c r="M37" s="15"/>
      <c r="N37" s="15"/>
    </row>
    <row r="38" spans="7:14" x14ac:dyDescent="0.35">
      <c r="G38" s="15"/>
      <c r="H38" s="15" t="s">
        <v>39</v>
      </c>
      <c r="I38" s="15"/>
      <c r="J38" s="15"/>
      <c r="K38" s="15"/>
      <c r="L38" s="15"/>
      <c r="M38" s="15"/>
      <c r="N38" s="15"/>
    </row>
    <row r="39" spans="7:14" x14ac:dyDescent="0.35">
      <c r="G39" s="15"/>
      <c r="H39" s="15" t="s">
        <v>40</v>
      </c>
      <c r="I39" s="15"/>
      <c r="J39" s="15"/>
      <c r="K39" s="15"/>
      <c r="L39" s="15"/>
      <c r="M39" s="15"/>
      <c r="N39" s="15"/>
    </row>
    <row r="40" spans="7:14" x14ac:dyDescent="0.35">
      <c r="G40" s="15"/>
      <c r="H40" s="15" t="s">
        <v>41</v>
      </c>
      <c r="I40" s="15"/>
      <c r="J40" s="15"/>
      <c r="K40" s="15"/>
      <c r="L40" s="15"/>
      <c r="M40" s="15"/>
      <c r="N40" s="15"/>
    </row>
    <row r="41" spans="7:14" x14ac:dyDescent="0.35">
      <c r="G41" s="15"/>
      <c r="H41" s="15" t="s">
        <v>42</v>
      </c>
      <c r="I41" s="15"/>
      <c r="J41" s="15"/>
      <c r="K41" s="15"/>
      <c r="L41" s="15"/>
      <c r="M41" s="15"/>
      <c r="N41" s="15"/>
    </row>
    <row r="42" spans="7:14" x14ac:dyDescent="0.35">
      <c r="G42" s="15"/>
      <c r="H42" s="15" t="s">
        <v>43</v>
      </c>
      <c r="I42" s="15"/>
      <c r="J42" s="15"/>
      <c r="K42" s="15"/>
      <c r="L42" s="15"/>
      <c r="M42" s="15"/>
      <c r="N42" s="15"/>
    </row>
    <row r="43" spans="7:14" x14ac:dyDescent="0.35">
      <c r="G43" s="15"/>
      <c r="H43" s="15"/>
      <c r="I43" s="15"/>
      <c r="J43" s="15"/>
      <c r="K43" s="15"/>
      <c r="L43" s="15"/>
      <c r="M43" s="15"/>
      <c r="N43" s="15"/>
    </row>
    <row r="55" spans="7:14" ht="15" thickBot="1" x14ac:dyDescent="0.4">
      <c r="G55" s="15"/>
      <c r="H55" s="46" t="s">
        <v>28</v>
      </c>
      <c r="I55" s="46"/>
      <c r="J55" s="46"/>
      <c r="K55" s="46"/>
      <c r="L55" s="46"/>
      <c r="M55" s="46"/>
      <c r="N55" s="46"/>
    </row>
    <row r="56" spans="7:14" ht="15" thickBot="1" x14ac:dyDescent="0.4">
      <c r="G56" s="15"/>
      <c r="H56" s="16" t="s">
        <v>29</v>
      </c>
      <c r="I56" s="16" t="s">
        <v>30</v>
      </c>
      <c r="J56" s="16" t="s">
        <v>31</v>
      </c>
      <c r="K56" s="16" t="s">
        <v>32</v>
      </c>
      <c r="L56" s="16" t="s">
        <v>33</v>
      </c>
      <c r="M56" s="16" t="s">
        <v>34</v>
      </c>
      <c r="N56" s="16" t="s">
        <v>35</v>
      </c>
    </row>
    <row r="57" spans="7:14" x14ac:dyDescent="0.35">
      <c r="G57" s="15"/>
      <c r="H57" s="17">
        <v>0</v>
      </c>
      <c r="I57" s="17">
        <v>-1303.43</v>
      </c>
      <c r="J57" s="17" t="s">
        <v>36</v>
      </c>
      <c r="K57" s="18">
        <v>9.8900000000000004E+39</v>
      </c>
      <c r="L57" s="17">
        <v>109.11920000000001</v>
      </c>
      <c r="M57" s="17">
        <v>109.41370000000001</v>
      </c>
      <c r="N57" s="17">
        <v>109.1973</v>
      </c>
    </row>
    <row r="58" spans="7:14" x14ac:dyDescent="0.35">
      <c r="G58" s="15"/>
      <c r="H58" s="19">
        <v>1</v>
      </c>
      <c r="I58" s="19">
        <v>-1227.954</v>
      </c>
      <c r="J58" s="19" t="s">
        <v>54</v>
      </c>
      <c r="K58" s="19" t="s">
        <v>55</v>
      </c>
      <c r="L58" s="19" t="s">
        <v>56</v>
      </c>
      <c r="M58" s="19" t="s">
        <v>57</v>
      </c>
      <c r="N58" s="19" t="s">
        <v>58</v>
      </c>
    </row>
    <row r="59" spans="7:14" x14ac:dyDescent="0.35">
      <c r="G59" s="15"/>
      <c r="H59" s="15" t="s">
        <v>37</v>
      </c>
      <c r="I59" s="17"/>
      <c r="J59" s="17"/>
      <c r="K59" s="17"/>
      <c r="L59" s="17"/>
      <c r="M59" s="17"/>
      <c r="N59" s="17"/>
    </row>
    <row r="60" spans="7:14" x14ac:dyDescent="0.35">
      <c r="G60" s="15"/>
      <c r="H60" s="15" t="s">
        <v>38</v>
      </c>
      <c r="I60" s="15"/>
      <c r="J60" s="15"/>
      <c r="K60" s="15"/>
      <c r="L60" s="15"/>
      <c r="M60" s="15"/>
      <c r="N60" s="15"/>
    </row>
    <row r="61" spans="7:14" x14ac:dyDescent="0.35">
      <c r="G61" s="15"/>
      <c r="H61" s="15" t="s">
        <v>39</v>
      </c>
      <c r="I61" s="15"/>
      <c r="J61" s="15"/>
      <c r="K61" s="15"/>
      <c r="L61" s="15"/>
      <c r="M61" s="15"/>
      <c r="N61" s="15"/>
    </row>
    <row r="62" spans="7:14" x14ac:dyDescent="0.35">
      <c r="G62" s="15"/>
      <c r="H62" s="15" t="s">
        <v>40</v>
      </c>
      <c r="I62" s="15"/>
      <c r="J62" s="15"/>
      <c r="K62" s="15"/>
      <c r="L62" s="15"/>
      <c r="M62" s="15"/>
      <c r="N62" s="15"/>
    </row>
    <row r="63" spans="7:14" x14ac:dyDescent="0.35">
      <c r="G63" s="15"/>
      <c r="H63" s="15" t="s">
        <v>41</v>
      </c>
      <c r="I63" s="15"/>
      <c r="J63" s="15"/>
      <c r="K63" s="15"/>
      <c r="L63" s="15"/>
      <c r="M63" s="15"/>
      <c r="N63" s="15"/>
    </row>
    <row r="64" spans="7:14" x14ac:dyDescent="0.35">
      <c r="G64" s="15"/>
      <c r="H64" s="15" t="s">
        <v>42</v>
      </c>
      <c r="I64" s="15"/>
      <c r="J64" s="15"/>
      <c r="K64" s="15"/>
      <c r="L64" s="15"/>
      <c r="M64" s="15"/>
      <c r="N64" s="15"/>
    </row>
    <row r="65" spans="7:14" x14ac:dyDescent="0.35">
      <c r="G65" s="15"/>
      <c r="H65" s="15" t="s">
        <v>43</v>
      </c>
      <c r="I65" s="15"/>
      <c r="J65" s="15"/>
      <c r="K65" s="15"/>
      <c r="L65" s="15"/>
      <c r="M65" s="15"/>
      <c r="N65" s="15"/>
    </row>
  </sheetData>
  <mergeCells count="3">
    <mergeCell ref="H7:N7"/>
    <mergeCell ref="H32:N32"/>
    <mergeCell ref="H55:N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3C46-D9DC-4432-BFE3-65447EB8B559}">
  <dimension ref="A1:H26"/>
  <sheetViews>
    <sheetView workbookViewId="0">
      <selection activeCell="A16" sqref="A16"/>
    </sheetView>
  </sheetViews>
  <sheetFormatPr defaultRowHeight="14.5" x14ac:dyDescent="0.35"/>
  <cols>
    <col min="2" max="6" width="8.7265625" style="2"/>
    <col min="7" max="7" width="12.453125" bestFit="1" customWidth="1"/>
    <col min="8" max="8" width="8.7265625" style="2"/>
  </cols>
  <sheetData>
    <row r="1" spans="1:7" x14ac:dyDescent="0.35">
      <c r="A1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27</v>
      </c>
    </row>
    <row r="2" spans="1:7" x14ac:dyDescent="0.35">
      <c r="A2">
        <v>2000</v>
      </c>
      <c r="B2" s="1">
        <v>5.01593475931152</v>
      </c>
      <c r="C2" s="2">
        <v>33514256077.200001</v>
      </c>
      <c r="D2" s="2">
        <v>22.673737400878501</v>
      </c>
      <c r="E2" s="2">
        <v>1.6483209896476725</v>
      </c>
      <c r="F2" s="2">
        <v>-1.32463443279266</v>
      </c>
      <c r="G2">
        <f>C2*F2</f>
        <v>-44394137589.28978</v>
      </c>
    </row>
    <row r="3" spans="1:7" x14ac:dyDescent="0.35">
      <c r="A3">
        <v>2001</v>
      </c>
      <c r="B3" s="1">
        <v>5.9176846492037072</v>
      </c>
      <c r="C3" s="2">
        <v>34976644763.900002</v>
      </c>
      <c r="D3" s="2">
        <v>10.076477244864094</v>
      </c>
      <c r="E3" s="2">
        <v>1.6186155582433908</v>
      </c>
      <c r="F3" s="2">
        <v>-1.3264712889989201</v>
      </c>
      <c r="G3">
        <f t="shared" ref="G3:G26" si="0">C3*F3</f>
        <v>-46395515064.827766</v>
      </c>
    </row>
    <row r="4" spans="1:7" x14ac:dyDescent="0.35">
      <c r="A4">
        <v>2002</v>
      </c>
      <c r="B4" s="1">
        <v>15.329155740955926</v>
      </c>
      <c r="C4" s="2">
        <v>36779630348.300003</v>
      </c>
      <c r="D4" s="2">
        <v>21.109050002928839</v>
      </c>
      <c r="E4" s="2">
        <v>1.971584135267864</v>
      </c>
      <c r="F4" s="2">
        <v>-1.5020675659179701</v>
      </c>
      <c r="G4">
        <f t="shared" si="0"/>
        <v>-55245489832.63369</v>
      </c>
    </row>
    <row r="5" spans="1:7" x14ac:dyDescent="0.35">
      <c r="A5">
        <v>2003</v>
      </c>
      <c r="B5" s="1">
        <v>7.3471949679949233</v>
      </c>
      <c r="C5" s="2">
        <v>41856858871.199997</v>
      </c>
      <c r="D5" s="2">
        <v>9.8043237766588902</v>
      </c>
      <c r="E5" s="2">
        <v>1.9146205699219134</v>
      </c>
      <c r="F5" s="2">
        <v>-1.4176537990570099</v>
      </c>
      <c r="G5">
        <f t="shared" si="0"/>
        <v>-59338534995.349785</v>
      </c>
    </row>
    <row r="6" spans="1:7" x14ac:dyDescent="0.35">
      <c r="A6">
        <v>2004</v>
      </c>
      <c r="B6" s="1">
        <v>9.2505582291798021</v>
      </c>
      <c r="C6" s="2">
        <v>45910626685.699997</v>
      </c>
      <c r="D6" s="2">
        <v>22.368341474842481</v>
      </c>
      <c r="E6" s="2">
        <v>1.3803738749088146</v>
      </c>
      <c r="F6" s="2">
        <v>-1.38337290287018</v>
      </c>
      <c r="G6">
        <f t="shared" si="0"/>
        <v>-63511516910.785957</v>
      </c>
    </row>
    <row r="7" spans="1:7" x14ac:dyDescent="0.35">
      <c r="A7">
        <v>2005</v>
      </c>
      <c r="B7" s="1">
        <v>6.4385165253834771</v>
      </c>
      <c r="C7" s="2">
        <v>33654648314.5</v>
      </c>
      <c r="D7" s="2">
        <v>19.85849477075206</v>
      </c>
      <c r="E7" s="2">
        <v>2.83629405374323</v>
      </c>
      <c r="F7" s="2">
        <v>-1.18077552318573</v>
      </c>
      <c r="G7">
        <f t="shared" si="0"/>
        <v>-39738584971.185486</v>
      </c>
    </row>
    <row r="8" spans="1:7" x14ac:dyDescent="0.35">
      <c r="A8">
        <v>2006</v>
      </c>
      <c r="B8" s="1">
        <v>6.0594280320290608</v>
      </c>
      <c r="C8" s="2">
        <v>17491682578.5</v>
      </c>
      <c r="D8" s="2">
        <v>23.864381126543236</v>
      </c>
      <c r="E8" s="2">
        <v>2.0357526731987421</v>
      </c>
      <c r="F8" s="2">
        <v>-1.1263943910598799</v>
      </c>
      <c r="G8">
        <f t="shared" si="0"/>
        <v>-19702533146.622219</v>
      </c>
    </row>
    <row r="9" spans="1:7" x14ac:dyDescent="0.35">
      <c r="A9">
        <v>2007</v>
      </c>
      <c r="B9" s="1">
        <v>6.5911303606867904</v>
      </c>
      <c r="C9" s="2">
        <v>19484330676.5</v>
      </c>
      <c r="D9" s="2">
        <v>7.0997309934307111</v>
      </c>
      <c r="E9" s="2">
        <v>2.1691953698239321</v>
      </c>
      <c r="F9" s="2">
        <v>-1.06693983078003</v>
      </c>
      <c r="G9">
        <f t="shared" si="0"/>
        <v>-20788608474.847057</v>
      </c>
    </row>
    <row r="10" spans="1:7" x14ac:dyDescent="0.35">
      <c r="A10">
        <v>2008</v>
      </c>
      <c r="B10" s="1">
        <v>6.7644727778022826</v>
      </c>
      <c r="C10" s="2">
        <v>20418957892.700001</v>
      </c>
      <c r="D10" s="2">
        <v>7.9213872023639311</v>
      </c>
      <c r="E10" s="2">
        <v>2.4137391825401049</v>
      </c>
      <c r="F10" s="2">
        <v>-0.90094894170761097</v>
      </c>
      <c r="G10">
        <f t="shared" si="0"/>
        <v>-18396438504.200336</v>
      </c>
    </row>
    <row r="11" spans="1:7" x14ac:dyDescent="0.35">
      <c r="A11">
        <v>2009</v>
      </c>
      <c r="B11" s="1">
        <v>8.0369251009902314</v>
      </c>
      <c r="C11" s="2">
        <v>22748897639.799999</v>
      </c>
      <c r="D11" s="2">
        <v>0.68609887459443542</v>
      </c>
      <c r="E11" s="2">
        <v>2.900248731759834</v>
      </c>
      <c r="F11" s="2">
        <v>-1.04188585281372</v>
      </c>
      <c r="G11">
        <f t="shared" si="0"/>
        <v>-23701754618.015045</v>
      </c>
    </row>
    <row r="12" spans="1:7" x14ac:dyDescent="0.35">
      <c r="A12">
        <v>2010</v>
      </c>
      <c r="B12" s="1">
        <v>8.0056559162870116</v>
      </c>
      <c r="C12" s="2">
        <v>29148883008.700001</v>
      </c>
      <c r="D12" s="2">
        <v>16.342766325306329</v>
      </c>
      <c r="E12" s="2">
        <v>1.6420736918665166</v>
      </c>
      <c r="F12" s="2">
        <v>-1.05150854587555</v>
      </c>
      <c r="G12">
        <f t="shared" si="0"/>
        <v>-30650299586.374664</v>
      </c>
    </row>
    <row r="13" spans="1:7" x14ac:dyDescent="0.35">
      <c r="A13">
        <v>2011</v>
      </c>
      <c r="B13" s="1">
        <v>5.3079242028945259</v>
      </c>
      <c r="C13" s="2">
        <v>34129232146</v>
      </c>
      <c r="D13" s="2">
        <v>9.7784580967594366</v>
      </c>
      <c r="E13" s="2">
        <v>2.133117701612997</v>
      </c>
      <c r="F13" s="2">
        <v>-1.1893614530563399</v>
      </c>
      <c r="G13">
        <f t="shared" si="0"/>
        <v>-40591993136.863708</v>
      </c>
    </row>
    <row r="14" spans="1:7" x14ac:dyDescent="0.35">
      <c r="A14">
        <v>2012</v>
      </c>
      <c r="B14" s="1">
        <v>4.2300611749322314</v>
      </c>
      <c r="C14" s="2">
        <v>39282745538.800003</v>
      </c>
      <c r="D14" s="2">
        <v>9.9476367063496411</v>
      </c>
      <c r="E14" s="2">
        <v>1.5237823376912705</v>
      </c>
      <c r="F14" s="2">
        <v>-1.1759332418441799</v>
      </c>
      <c r="G14">
        <f t="shared" si="0"/>
        <v>-46193886309.981087</v>
      </c>
    </row>
    <row r="15" spans="1:7" x14ac:dyDescent="0.35">
      <c r="A15">
        <v>2013</v>
      </c>
      <c r="B15" s="1">
        <v>6.6713353930616677</v>
      </c>
      <c r="C15" s="2">
        <v>42604005424.400002</v>
      </c>
      <c r="D15" s="2">
        <v>4.964745715612807</v>
      </c>
      <c r="E15" s="2">
        <v>1.0695393649777734</v>
      </c>
      <c r="F15" s="2">
        <v>-1.22705030441284</v>
      </c>
      <c r="G15">
        <f t="shared" si="0"/>
        <v>-52277257825.216309</v>
      </c>
    </row>
    <row r="16" spans="1:7" x14ac:dyDescent="0.35">
      <c r="A16">
        <v>2014</v>
      </c>
      <c r="B16" s="1">
        <v>6.309718655254315</v>
      </c>
      <c r="C16" s="2">
        <v>46672476310.199997</v>
      </c>
      <c r="D16" s="2">
        <v>4.6626229173310776</v>
      </c>
      <c r="E16" s="2">
        <v>0.81747846787019718</v>
      </c>
      <c r="F16" s="2">
        <v>-1.28392314910889</v>
      </c>
      <c r="G16">
        <f t="shared" si="0"/>
        <v>-59923872760.902046</v>
      </c>
    </row>
    <row r="17" spans="1:7" x14ac:dyDescent="0.35">
      <c r="A17">
        <v>2015</v>
      </c>
      <c r="B17" s="1">
        <v>2.6526932954300122</v>
      </c>
      <c r="C17" s="2">
        <v>45024833871.699997</v>
      </c>
      <c r="D17" s="2">
        <v>2.8636651229894596</v>
      </c>
      <c r="E17" s="2">
        <v>0.62150163700012584</v>
      </c>
      <c r="F17" s="2">
        <v>-1.09608614444733</v>
      </c>
      <c r="G17">
        <f t="shared" si="0"/>
        <v>-49351096562.813202</v>
      </c>
    </row>
    <row r="18" spans="1:7" x14ac:dyDescent="0.35">
      <c r="A18">
        <v>2016</v>
      </c>
      <c r="B18" s="1">
        <v>-1.6168689490650934</v>
      </c>
      <c r="C18" s="2">
        <v>43735939488.900002</v>
      </c>
      <c r="D18" s="2">
        <v>9.5436700641245267</v>
      </c>
      <c r="E18" s="2">
        <v>0.85339574275191643</v>
      </c>
      <c r="F18" s="2">
        <v>-1.0453189611434901</v>
      </c>
      <c r="G18">
        <f t="shared" si="0"/>
        <v>-45718006831.171494</v>
      </c>
    </row>
    <row r="19" spans="1:7" x14ac:dyDescent="0.35">
      <c r="A19">
        <v>2017</v>
      </c>
      <c r="B19" s="1">
        <v>0.80588661910243786</v>
      </c>
      <c r="C19" s="2">
        <v>65142821169.800003</v>
      </c>
      <c r="D19" s="2">
        <v>11.118918081769664</v>
      </c>
      <c r="E19" s="2">
        <v>0.64218292233625718</v>
      </c>
      <c r="F19" s="2">
        <v>-1.0991559028625499</v>
      </c>
      <c r="G19">
        <f t="shared" si="0"/>
        <v>-71602116417.905151</v>
      </c>
    </row>
    <row r="20" spans="1:7" x14ac:dyDescent="0.35">
      <c r="A20">
        <v>2018</v>
      </c>
      <c r="B20" s="1">
        <v>1.9227573420061361</v>
      </c>
      <c r="C20" s="2">
        <v>69440288784.600006</v>
      </c>
      <c r="D20" s="2">
        <v>10.228485086589217</v>
      </c>
      <c r="E20" s="2">
        <v>0.18382149568222933</v>
      </c>
      <c r="F20" s="2">
        <v>-1.08386242389679</v>
      </c>
      <c r="G20">
        <f t="shared" si="0"/>
        <v>-75263719718.169647</v>
      </c>
    </row>
    <row r="21" spans="1:7" x14ac:dyDescent="0.35">
      <c r="A21">
        <v>2019</v>
      </c>
      <c r="B21" s="1">
        <v>2.2084292771489231</v>
      </c>
      <c r="C21" s="2">
        <v>81342753974.699997</v>
      </c>
      <c r="D21" s="2">
        <v>55.44488405645356</v>
      </c>
      <c r="E21" s="2">
        <v>0.3449612159042218</v>
      </c>
      <c r="F21" s="2">
        <v>-1.11317050457001</v>
      </c>
      <c r="G21">
        <f t="shared" si="0"/>
        <v>-90548354485.130981</v>
      </c>
    </row>
    <row r="22" spans="1:7" x14ac:dyDescent="0.35">
      <c r="A22">
        <v>2020</v>
      </c>
      <c r="B22" s="1">
        <v>-6.368898405101092</v>
      </c>
      <c r="C22" s="2">
        <v>87591245939.399994</v>
      </c>
      <c r="D22" s="2">
        <v>11.252484243854383</v>
      </c>
      <c r="E22" s="2">
        <v>0.39848483042221544</v>
      </c>
      <c r="F22" s="2">
        <v>-1.1185671091079701</v>
      </c>
      <c r="G22">
        <f t="shared" si="0"/>
        <v>-97976686753.599869</v>
      </c>
    </row>
    <row r="23" spans="1:7" x14ac:dyDescent="0.35">
      <c r="A23">
        <v>2021</v>
      </c>
      <c r="B23" s="1">
        <v>1.1092525393816288</v>
      </c>
      <c r="C23" s="2">
        <v>96254706293.5</v>
      </c>
      <c r="D23" s="2">
        <v>12.636912511124081</v>
      </c>
      <c r="E23" s="2">
        <v>0.54390912215265241</v>
      </c>
      <c r="F23" s="2">
        <v>-1.1012278795242301</v>
      </c>
      <c r="G23">
        <f t="shared" si="0"/>
        <v>-105998366105.81857</v>
      </c>
    </row>
    <row r="24" spans="1:7" x14ac:dyDescent="0.35">
      <c r="A24">
        <v>2022</v>
      </c>
      <c r="B24" s="1">
        <v>4.3188294952319239</v>
      </c>
      <c r="C24" s="2">
        <v>103064224482.60001</v>
      </c>
      <c r="D24" s="2">
        <v>8.0466494850652595</v>
      </c>
      <c r="E24" s="2">
        <v>-2.8872765215409307E-2</v>
      </c>
      <c r="F24" s="2">
        <v>-1.12968230247498</v>
      </c>
      <c r="G24">
        <f t="shared" si="0"/>
        <v>-116429830416.30179</v>
      </c>
    </row>
    <row r="25" spans="1:7" x14ac:dyDescent="0.35">
      <c r="A25">
        <v>2023</v>
      </c>
      <c r="B25" s="1">
        <v>3.3268455642131585</v>
      </c>
      <c r="C25" s="2">
        <v>102472750412.89999</v>
      </c>
      <c r="D25" s="2">
        <v>10.82258064013601</v>
      </c>
      <c r="E25" s="2">
        <v>0.38419519791463341</v>
      </c>
      <c r="F25" s="2">
        <v>-1.0409743785858201</v>
      </c>
      <c r="G25">
        <f t="shared" si="0"/>
        <v>-106671507683.04842</v>
      </c>
    </row>
    <row r="26" spans="1:7" x14ac:dyDescent="0.35">
      <c r="A26">
        <v>2024</v>
      </c>
      <c r="B26" s="1">
        <v>4.0623640888831858</v>
      </c>
      <c r="C26" s="2">
        <v>108757630161.5</v>
      </c>
      <c r="D26" s="2">
        <v>14.089725280600888</v>
      </c>
      <c r="E26" s="2">
        <v>0.42824968266251462</v>
      </c>
      <c r="F26" s="2">
        <v>-1.0260785931118499</v>
      </c>
      <c r="G26">
        <f t="shared" si="0"/>
        <v>-111593876146.29082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F390C-8F21-45F6-9D2C-BA98E03B60AC}">
  <dimension ref="F8:J69"/>
  <sheetViews>
    <sheetView topLeftCell="B55" workbookViewId="0">
      <selection activeCell="I64" sqref="I64:I68"/>
    </sheetView>
  </sheetViews>
  <sheetFormatPr defaultRowHeight="14.5" x14ac:dyDescent="0.35"/>
  <sheetData>
    <row r="8" spans="6:10" x14ac:dyDescent="0.35">
      <c r="F8" s="20"/>
      <c r="G8" s="20"/>
      <c r="H8" s="20"/>
      <c r="I8" s="20"/>
      <c r="J8" s="20"/>
    </row>
    <row r="9" spans="6:10" x14ac:dyDescent="0.35">
      <c r="F9" s="21" t="s">
        <v>59</v>
      </c>
      <c r="G9" s="21"/>
      <c r="H9" s="21"/>
      <c r="I9" s="21"/>
      <c r="J9" s="20"/>
    </row>
    <row r="10" spans="6:10" ht="34.5" x14ac:dyDescent="0.35">
      <c r="F10" s="22" t="s">
        <v>60</v>
      </c>
      <c r="G10" s="47" t="s">
        <v>61</v>
      </c>
      <c r="H10" s="47"/>
      <c r="I10" s="22" t="s">
        <v>62</v>
      </c>
      <c r="J10" s="20"/>
    </row>
    <row r="11" spans="6:10" x14ac:dyDescent="0.35">
      <c r="F11" s="23"/>
      <c r="G11" s="24" t="s">
        <v>63</v>
      </c>
      <c r="H11" s="24" t="s">
        <v>64</v>
      </c>
      <c r="I11" s="48">
        <v>4.4548759999999996</v>
      </c>
      <c r="J11" s="20"/>
    </row>
    <row r="12" spans="6:10" x14ac:dyDescent="0.35">
      <c r="F12" s="25">
        <v>10</v>
      </c>
      <c r="G12" s="26">
        <v>2.72</v>
      </c>
      <c r="H12" s="26">
        <v>3.77</v>
      </c>
      <c r="I12" s="49"/>
      <c r="J12" s="20"/>
    </row>
    <row r="13" spans="6:10" x14ac:dyDescent="0.35">
      <c r="F13" s="25">
        <v>5</v>
      </c>
      <c r="G13" s="26">
        <v>3.23</v>
      </c>
      <c r="H13" s="26">
        <v>4.3499999999999996</v>
      </c>
      <c r="I13" s="49"/>
      <c r="J13" s="20"/>
    </row>
    <row r="14" spans="6:10" x14ac:dyDescent="0.35">
      <c r="F14" s="25">
        <v>2.5</v>
      </c>
      <c r="G14" s="26">
        <v>3.69</v>
      </c>
      <c r="H14" s="26">
        <v>4.8899999999999997</v>
      </c>
      <c r="I14" s="49"/>
      <c r="J14" s="20"/>
    </row>
    <row r="15" spans="6:10" x14ac:dyDescent="0.35">
      <c r="F15" s="22">
        <v>1</v>
      </c>
      <c r="G15" s="27">
        <v>4.29</v>
      </c>
      <c r="H15" s="27">
        <v>5.61</v>
      </c>
      <c r="I15" s="50"/>
      <c r="J15" s="20"/>
    </row>
    <row r="16" spans="6:10" x14ac:dyDescent="0.35">
      <c r="F16" s="20" t="s">
        <v>65</v>
      </c>
      <c r="G16" s="20"/>
      <c r="H16" s="20"/>
      <c r="I16" s="20"/>
      <c r="J16" s="20"/>
    </row>
    <row r="17" spans="6:10" x14ac:dyDescent="0.35">
      <c r="F17" s="20"/>
      <c r="G17" s="20"/>
      <c r="H17" s="20"/>
      <c r="I17" s="20"/>
      <c r="J17" s="20"/>
    </row>
    <row r="40" spans="6:10" x14ac:dyDescent="0.35">
      <c r="F40" s="20"/>
      <c r="G40" s="20"/>
      <c r="H40" s="20"/>
      <c r="I40" s="20"/>
      <c r="J40" s="20"/>
    </row>
    <row r="41" spans="6:10" x14ac:dyDescent="0.35">
      <c r="F41" s="21" t="s">
        <v>59</v>
      </c>
      <c r="G41" s="21"/>
      <c r="H41" s="21"/>
      <c r="I41" s="21"/>
      <c r="J41" s="20"/>
    </row>
    <row r="42" spans="6:10" ht="34.5" x14ac:dyDescent="0.35">
      <c r="F42" s="22" t="s">
        <v>60</v>
      </c>
      <c r="G42" s="47" t="s">
        <v>61</v>
      </c>
      <c r="H42" s="47"/>
      <c r="I42" s="22" t="s">
        <v>62</v>
      </c>
      <c r="J42" s="20"/>
    </row>
    <row r="43" spans="6:10" x14ac:dyDescent="0.35">
      <c r="F43" s="23"/>
      <c r="G43" s="24" t="s">
        <v>63</v>
      </c>
      <c r="H43" s="24" t="s">
        <v>64</v>
      </c>
      <c r="I43" s="48">
        <v>4.6514749999999996</v>
      </c>
      <c r="J43" s="20"/>
    </row>
    <row r="44" spans="6:10" x14ac:dyDescent="0.35">
      <c r="F44" s="25">
        <v>10</v>
      </c>
      <c r="G44" s="26">
        <v>2.72</v>
      </c>
      <c r="H44" s="26">
        <v>3.77</v>
      </c>
      <c r="I44" s="49"/>
      <c r="J44" s="20"/>
    </row>
    <row r="45" spans="6:10" x14ac:dyDescent="0.35">
      <c r="F45" s="25">
        <v>5</v>
      </c>
      <c r="G45" s="26">
        <v>3.23</v>
      </c>
      <c r="H45" s="26">
        <v>4.3499999999999996</v>
      </c>
      <c r="I45" s="49"/>
      <c r="J45" s="20"/>
    </row>
    <row r="46" spans="6:10" x14ac:dyDescent="0.35">
      <c r="F46" s="25">
        <v>2.5</v>
      </c>
      <c r="G46" s="26">
        <v>3.69</v>
      </c>
      <c r="H46" s="26">
        <v>4.8899999999999997</v>
      </c>
      <c r="I46" s="49"/>
      <c r="J46" s="20"/>
    </row>
    <row r="47" spans="6:10" x14ac:dyDescent="0.35">
      <c r="F47" s="22">
        <v>1</v>
      </c>
      <c r="G47" s="27">
        <v>4.29</v>
      </c>
      <c r="H47" s="27">
        <v>5.61</v>
      </c>
      <c r="I47" s="50"/>
      <c r="J47" s="20"/>
    </row>
    <row r="48" spans="6:10" x14ac:dyDescent="0.35">
      <c r="F48" s="20" t="s">
        <v>65</v>
      </c>
      <c r="G48" s="20"/>
      <c r="H48" s="20"/>
      <c r="I48" s="20"/>
      <c r="J48" s="20"/>
    </row>
    <row r="49" spans="6:10" x14ac:dyDescent="0.35">
      <c r="F49" s="20"/>
      <c r="G49" s="20"/>
      <c r="H49" s="20"/>
      <c r="I49" s="20"/>
      <c r="J49" s="20"/>
    </row>
    <row r="61" spans="6:10" x14ac:dyDescent="0.35">
      <c r="F61" s="20"/>
      <c r="G61" s="20"/>
      <c r="H61" s="20"/>
      <c r="I61" s="20"/>
      <c r="J61" s="20"/>
    </row>
    <row r="62" spans="6:10" x14ac:dyDescent="0.35">
      <c r="F62" s="21" t="s">
        <v>59</v>
      </c>
      <c r="G62" s="21"/>
      <c r="H62" s="21"/>
      <c r="I62" s="21"/>
      <c r="J62" s="20"/>
    </row>
    <row r="63" spans="6:10" ht="34.5" x14ac:dyDescent="0.35">
      <c r="F63" s="22" t="s">
        <v>60</v>
      </c>
      <c r="G63" s="47" t="s">
        <v>61</v>
      </c>
      <c r="H63" s="47"/>
      <c r="I63" s="22" t="s">
        <v>62</v>
      </c>
      <c r="J63" s="20"/>
    </row>
    <row r="64" spans="6:10" x14ac:dyDescent="0.35">
      <c r="F64" s="23"/>
      <c r="G64" s="24" t="s">
        <v>63</v>
      </c>
      <c r="H64" s="24" t="s">
        <v>64</v>
      </c>
      <c r="I64" s="48">
        <v>4.1864119999999998</v>
      </c>
      <c r="J64" s="20"/>
    </row>
    <row r="65" spans="6:10" x14ac:dyDescent="0.35">
      <c r="F65" s="25">
        <v>10</v>
      </c>
      <c r="G65" s="26">
        <v>2.2599999999999998</v>
      </c>
      <c r="H65" s="26">
        <v>3.35</v>
      </c>
      <c r="I65" s="49"/>
      <c r="J65" s="20"/>
    </row>
    <row r="66" spans="6:10" x14ac:dyDescent="0.35">
      <c r="F66" s="25">
        <v>5</v>
      </c>
      <c r="G66" s="26">
        <v>2.62</v>
      </c>
      <c r="H66" s="26">
        <v>3.79</v>
      </c>
      <c r="I66" s="49"/>
      <c r="J66" s="20"/>
    </row>
    <row r="67" spans="6:10" x14ac:dyDescent="0.35">
      <c r="F67" s="25">
        <v>2.5</v>
      </c>
      <c r="G67" s="26">
        <v>2.96</v>
      </c>
      <c r="H67" s="26">
        <v>4.18</v>
      </c>
      <c r="I67" s="49"/>
      <c r="J67" s="20"/>
    </row>
    <row r="68" spans="6:10" x14ac:dyDescent="0.35">
      <c r="F68" s="22">
        <v>1</v>
      </c>
      <c r="G68" s="27">
        <v>3.41</v>
      </c>
      <c r="H68" s="27">
        <v>4.68</v>
      </c>
      <c r="I68" s="50"/>
      <c r="J68" s="20"/>
    </row>
    <row r="69" spans="6:10" x14ac:dyDescent="0.35">
      <c r="F69" s="20" t="s">
        <v>65</v>
      </c>
      <c r="G69" s="20"/>
      <c r="H69" s="20"/>
      <c r="I69" s="20"/>
      <c r="J69" s="20"/>
    </row>
  </sheetData>
  <mergeCells count="6">
    <mergeCell ref="I64:I68"/>
    <mergeCell ref="G10:H10"/>
    <mergeCell ref="I11:I15"/>
    <mergeCell ref="G42:H42"/>
    <mergeCell ref="I43:I47"/>
    <mergeCell ref="G63:H6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1A4E4-1675-4AF9-9FA5-6D1CC53436E9}">
  <dimension ref="F6:M33"/>
  <sheetViews>
    <sheetView topLeftCell="A12" workbookViewId="0">
      <selection activeCell="E12" sqref="E12"/>
    </sheetView>
  </sheetViews>
  <sheetFormatPr defaultRowHeight="14.5" x14ac:dyDescent="0.35"/>
  <sheetData>
    <row r="6" spans="6:13" x14ac:dyDescent="0.35">
      <c r="F6" s="20"/>
      <c r="G6" s="20"/>
      <c r="H6" s="20"/>
      <c r="I6" s="20"/>
      <c r="J6" s="20"/>
      <c r="K6" s="20"/>
      <c r="L6" s="20"/>
      <c r="M6" s="20"/>
    </row>
    <row r="7" spans="6:13" ht="15" thickBot="1" x14ac:dyDescent="0.4">
      <c r="F7" s="20"/>
      <c r="G7" s="28" t="s">
        <v>67</v>
      </c>
      <c r="H7" s="28"/>
      <c r="I7" s="28"/>
      <c r="J7" s="28"/>
      <c r="K7" s="28"/>
      <c r="L7" s="20"/>
      <c r="M7" s="20"/>
    </row>
    <row r="8" spans="6:13" ht="15" thickBot="1" x14ac:dyDescent="0.4">
      <c r="F8" s="20"/>
      <c r="G8" s="56" t="s">
        <v>68</v>
      </c>
      <c r="H8" s="56"/>
      <c r="I8" s="56"/>
      <c r="J8" s="56"/>
      <c r="K8" s="56"/>
      <c r="L8" s="20"/>
      <c r="M8" s="20"/>
    </row>
    <row r="9" spans="6:13" ht="15" thickBot="1" x14ac:dyDescent="0.4">
      <c r="F9" s="20"/>
      <c r="G9" s="29" t="s">
        <v>69</v>
      </c>
      <c r="H9" s="29" t="s">
        <v>70</v>
      </c>
      <c r="I9" s="29" t="s">
        <v>71</v>
      </c>
      <c r="J9" s="29" t="s">
        <v>72</v>
      </c>
      <c r="K9" s="29" t="s">
        <v>73</v>
      </c>
      <c r="L9" s="20"/>
      <c r="M9" s="20"/>
    </row>
    <row r="10" spans="6:13" x14ac:dyDescent="0.35">
      <c r="F10" s="20"/>
      <c r="G10" s="30" t="s">
        <v>74</v>
      </c>
      <c r="H10" s="31">
        <v>-0.73206499999999997</v>
      </c>
      <c r="I10" s="31">
        <v>0.19650300000000001</v>
      </c>
      <c r="J10" s="20">
        <v>-3.7254719999999999</v>
      </c>
      <c r="K10" s="32">
        <v>1.6999999999999999E-3</v>
      </c>
      <c r="L10" s="20"/>
      <c r="M10" s="20"/>
    </row>
    <row r="11" spans="6:13" x14ac:dyDescent="0.35">
      <c r="F11" s="20"/>
      <c r="G11" s="30" t="s">
        <v>93</v>
      </c>
      <c r="H11" s="34">
        <v>0</v>
      </c>
      <c r="I11" s="34">
        <v>0</v>
      </c>
      <c r="J11" s="33">
        <v>1.280902</v>
      </c>
      <c r="K11" s="33">
        <v>0.21740000000000001</v>
      </c>
      <c r="L11" s="20"/>
      <c r="M11" s="20"/>
    </row>
    <row r="12" spans="6:13" x14ac:dyDescent="0.35">
      <c r="F12" s="20"/>
      <c r="G12" s="30" t="s">
        <v>94</v>
      </c>
      <c r="H12" s="33">
        <v>0.33360000000000001</v>
      </c>
      <c r="I12" s="33">
        <v>9.5600000000000004E-2</v>
      </c>
      <c r="J12" s="33" t="s">
        <v>75</v>
      </c>
      <c r="K12" s="33" t="s">
        <v>76</v>
      </c>
      <c r="L12" s="20"/>
      <c r="M12" s="20"/>
    </row>
    <row r="13" spans="6:13" ht="15" thickBot="1" x14ac:dyDescent="0.4">
      <c r="F13" s="20"/>
      <c r="G13" s="30" t="s">
        <v>95</v>
      </c>
      <c r="H13" s="34">
        <v>0.48820000000000002</v>
      </c>
      <c r="I13" s="34">
        <v>0.2419</v>
      </c>
      <c r="J13" s="34" t="s">
        <v>77</v>
      </c>
      <c r="K13" s="34" t="s">
        <v>78</v>
      </c>
      <c r="L13" s="20"/>
      <c r="M13" s="20"/>
    </row>
    <row r="14" spans="6:13" ht="15" thickBot="1" x14ac:dyDescent="0.4">
      <c r="F14" s="20"/>
      <c r="G14" s="56" t="s">
        <v>79</v>
      </c>
      <c r="H14" s="56"/>
      <c r="I14" s="56"/>
      <c r="J14" s="56"/>
      <c r="K14" s="56"/>
      <c r="L14" s="20"/>
      <c r="M14" s="20"/>
    </row>
    <row r="15" spans="6:13" ht="15" thickBot="1" x14ac:dyDescent="0.4">
      <c r="F15" s="20"/>
      <c r="G15" s="29" t="s">
        <v>69</v>
      </c>
      <c r="H15" s="29" t="s">
        <v>70</v>
      </c>
      <c r="I15" s="29" t="s">
        <v>71</v>
      </c>
      <c r="J15" s="29" t="s">
        <v>72</v>
      </c>
      <c r="K15" s="29" t="s">
        <v>73</v>
      </c>
      <c r="L15" s="20"/>
      <c r="M15" s="20"/>
    </row>
    <row r="16" spans="6:13" x14ac:dyDescent="0.35">
      <c r="F16" s="20"/>
      <c r="G16" s="30" t="s">
        <v>80</v>
      </c>
      <c r="H16" s="34">
        <v>-4.9473500000000001</v>
      </c>
      <c r="I16" s="34">
        <v>6.41275</v>
      </c>
      <c r="J16" s="34">
        <v>-0.77148600000000001</v>
      </c>
      <c r="K16" s="34">
        <v>0.45100000000000001</v>
      </c>
      <c r="L16" s="20"/>
      <c r="M16" s="20"/>
    </row>
    <row r="17" spans="6:13" x14ac:dyDescent="0.35">
      <c r="F17" s="20"/>
      <c r="G17" s="30" t="s">
        <v>2</v>
      </c>
      <c r="H17" s="34">
        <v>0</v>
      </c>
      <c r="I17" s="34">
        <v>0</v>
      </c>
      <c r="J17" s="34">
        <v>1.175546</v>
      </c>
      <c r="K17" s="34">
        <v>0.25600000000000001</v>
      </c>
      <c r="L17" s="20"/>
      <c r="M17" s="20"/>
    </row>
    <row r="18" spans="6:13" x14ac:dyDescent="0.35">
      <c r="F18" s="20"/>
      <c r="G18" s="30" t="s">
        <v>3</v>
      </c>
      <c r="H18" s="33">
        <v>-0.16223699999999999</v>
      </c>
      <c r="I18" s="33">
        <v>0.121369</v>
      </c>
      <c r="J18" s="33">
        <v>-1.336722</v>
      </c>
      <c r="K18" s="33">
        <v>0.19889999999999999</v>
      </c>
      <c r="L18" s="20"/>
      <c r="M18" s="20"/>
    </row>
    <row r="19" spans="6:13" ht="15" thickBot="1" x14ac:dyDescent="0.4">
      <c r="F19" s="20"/>
      <c r="G19" s="30" t="s">
        <v>4</v>
      </c>
      <c r="H19" s="35">
        <v>5.8079260000000001</v>
      </c>
      <c r="I19" s="35">
        <v>2.3847179999999999</v>
      </c>
      <c r="J19" s="20">
        <v>2.4354770000000001</v>
      </c>
      <c r="K19" s="35">
        <v>2.6200000000000001E-2</v>
      </c>
      <c r="L19" s="20"/>
      <c r="M19" s="20"/>
    </row>
    <row r="20" spans="6:13" ht="15" thickBot="1" x14ac:dyDescent="0.4">
      <c r="F20" s="20"/>
      <c r="G20" s="56" t="s">
        <v>81</v>
      </c>
      <c r="H20" s="56"/>
      <c r="I20" s="56"/>
      <c r="J20" s="56"/>
      <c r="K20" s="56"/>
      <c r="L20" s="20"/>
      <c r="M20" s="20"/>
    </row>
    <row r="21" spans="6:13" x14ac:dyDescent="0.35">
      <c r="F21" s="20"/>
      <c r="G21" s="55" t="s">
        <v>82</v>
      </c>
      <c r="H21" s="55"/>
      <c r="I21" s="55"/>
      <c r="J21" s="55"/>
      <c r="K21" s="35">
        <v>0.63685700000000001</v>
      </c>
      <c r="L21" s="20"/>
      <c r="M21" s="20"/>
    </row>
    <row r="22" spans="6:13" x14ac:dyDescent="0.35">
      <c r="F22" s="20"/>
      <c r="G22" s="51" t="s">
        <v>83</v>
      </c>
      <c r="H22" s="51"/>
      <c r="I22" s="51"/>
      <c r="J22" s="51"/>
      <c r="K22" s="35">
        <v>0.50868899999999995</v>
      </c>
      <c r="L22" s="20"/>
      <c r="M22" s="20"/>
    </row>
    <row r="23" spans="6:13" x14ac:dyDescent="0.35">
      <c r="F23" s="20"/>
      <c r="G23" s="51" t="s">
        <v>66</v>
      </c>
      <c r="H23" s="51"/>
      <c r="I23" s="51"/>
      <c r="J23" s="51"/>
      <c r="K23" s="35">
        <v>4.9689139999999998</v>
      </c>
      <c r="L23" s="20"/>
      <c r="M23" s="20"/>
    </row>
    <row r="24" spans="6:13" x14ac:dyDescent="0.35">
      <c r="F24" s="20"/>
      <c r="G24" s="54" t="s">
        <v>84</v>
      </c>
      <c r="H24" s="54"/>
      <c r="I24" s="54"/>
      <c r="J24" s="54"/>
      <c r="K24" s="34">
        <v>4.1529999999999996E-3</v>
      </c>
      <c r="L24" s="20"/>
      <c r="M24" s="20"/>
    </row>
    <row r="25" spans="6:13" ht="15" thickBot="1" x14ac:dyDescent="0.4">
      <c r="F25" s="20"/>
      <c r="G25" s="52" t="s">
        <v>85</v>
      </c>
      <c r="H25" s="52"/>
      <c r="I25" s="52"/>
      <c r="J25" s="52"/>
      <c r="K25" s="37">
        <v>1.671055</v>
      </c>
      <c r="L25" s="20"/>
      <c r="M25" s="20"/>
    </row>
    <row r="26" spans="6:13" ht="15" thickBot="1" x14ac:dyDescent="0.4">
      <c r="F26" s="20"/>
      <c r="G26" s="56" t="s">
        <v>86</v>
      </c>
      <c r="H26" s="56"/>
      <c r="I26" s="56"/>
      <c r="J26" s="56"/>
      <c r="K26" s="56"/>
      <c r="L26" s="20"/>
      <c r="M26" s="20"/>
    </row>
    <row r="27" spans="6:13" x14ac:dyDescent="0.35">
      <c r="F27" s="20"/>
      <c r="G27" s="55" t="s">
        <v>87</v>
      </c>
      <c r="H27" s="55"/>
      <c r="I27" s="55"/>
      <c r="J27" s="20"/>
      <c r="K27" s="20"/>
      <c r="L27" s="20"/>
      <c r="M27" s="20"/>
    </row>
    <row r="28" spans="6:13" x14ac:dyDescent="0.35">
      <c r="F28" s="20"/>
      <c r="G28" s="51" t="s">
        <v>88</v>
      </c>
      <c r="H28" s="51"/>
      <c r="I28" s="51"/>
      <c r="J28" s="31"/>
      <c r="K28" s="33"/>
      <c r="L28" s="20"/>
      <c r="M28" s="20"/>
    </row>
    <row r="29" spans="6:13" x14ac:dyDescent="0.35">
      <c r="F29" s="20"/>
      <c r="G29" s="51" t="s">
        <v>89</v>
      </c>
      <c r="H29" s="51"/>
      <c r="I29" s="51"/>
      <c r="J29" s="33"/>
      <c r="K29" s="33"/>
      <c r="L29" s="20"/>
      <c r="M29" s="20"/>
    </row>
    <row r="30" spans="6:13" x14ac:dyDescent="0.35">
      <c r="F30" s="20"/>
      <c r="G30" s="51" t="s">
        <v>90</v>
      </c>
      <c r="H30" s="51"/>
      <c r="I30" s="51"/>
      <c r="J30" s="33"/>
      <c r="K30" s="33"/>
      <c r="L30" s="20"/>
      <c r="M30" s="20"/>
    </row>
    <row r="31" spans="6:13" ht="15" thickBot="1" x14ac:dyDescent="0.4">
      <c r="F31" s="20"/>
      <c r="G31" s="52" t="s">
        <v>91</v>
      </c>
      <c r="H31" s="52"/>
      <c r="I31" s="52"/>
      <c r="J31" s="36"/>
      <c r="K31" s="36"/>
      <c r="L31" s="20"/>
      <c r="M31" s="20"/>
    </row>
    <row r="32" spans="6:13" x14ac:dyDescent="0.35">
      <c r="F32" s="20"/>
      <c r="G32" s="53" t="s">
        <v>65</v>
      </c>
      <c r="H32" s="53"/>
      <c r="I32" s="53"/>
      <c r="J32" s="53"/>
      <c r="K32" s="53"/>
      <c r="L32" s="20"/>
      <c r="M32" s="20"/>
    </row>
    <row r="33" spans="6:13" x14ac:dyDescent="0.35">
      <c r="F33" s="20"/>
      <c r="G33" s="54" t="s">
        <v>92</v>
      </c>
      <c r="H33" s="54"/>
      <c r="I33" s="54"/>
      <c r="J33" s="54"/>
      <c r="K33" s="54"/>
      <c r="L33" s="54"/>
      <c r="M33" s="54"/>
    </row>
  </sheetData>
  <mergeCells count="16">
    <mergeCell ref="G23:J23"/>
    <mergeCell ref="G8:K8"/>
    <mergeCell ref="G14:K14"/>
    <mergeCell ref="G20:K20"/>
    <mergeCell ref="G21:J21"/>
    <mergeCell ref="G22:J22"/>
    <mergeCell ref="G28:I28"/>
    <mergeCell ref="G27:I27"/>
    <mergeCell ref="G24:J24"/>
    <mergeCell ref="G25:J25"/>
    <mergeCell ref="G26:K26"/>
    <mergeCell ref="G30:I30"/>
    <mergeCell ref="G31:I31"/>
    <mergeCell ref="G32:K32"/>
    <mergeCell ref="G33:M33"/>
    <mergeCell ref="G29:I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ADF</vt:lpstr>
      <vt:lpstr>PP</vt:lpstr>
      <vt:lpstr>lag</vt:lpstr>
      <vt:lpstr>Real data</vt:lpstr>
      <vt:lpstr>bound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kemi dami</dc:creator>
  <cp:lastModifiedBy>kemi dami</cp:lastModifiedBy>
  <dcterms:created xsi:type="dcterms:W3CDTF">2026-04-15T09:20:31Z</dcterms:created>
  <dcterms:modified xsi:type="dcterms:W3CDTF">2026-05-29T13:49:00Z</dcterms:modified>
</cp:coreProperties>
</file>